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anco8014867\Documents\UC7\Site PIAPZ\Principal\"/>
    </mc:Choice>
  </mc:AlternateContent>
  <xr:revisionPtr revIDLastSave="0" documentId="13_ncr:1_{AE855C31-7190-4796-961F-45C08B95AC60}" xr6:coauthVersionLast="47" xr6:coauthVersionMax="47" xr10:uidLastSave="{00000000-0000-0000-0000-000000000000}"/>
  <bookViews>
    <workbookView xWindow="-120" yWindow="-120" windowWidth="24240" windowHeight="13140" tabRatio="326" xr2:uid="{A5AAE331-C229-43E8-8FD6-1DD6A9FFE79B}"/>
  </bookViews>
  <sheets>
    <sheet name="Perfil" sheetId="3" r:id="rId1"/>
    <sheet name="Consumo" sheetId="6" r:id="rId2"/>
    <sheet name="investimento" sheetId="7" r:id="rId3"/>
    <sheet name="Planejamento" sheetId="9" r:id="rId4"/>
    <sheet name="TDPerfil" sheetId="2" r:id="rId5"/>
    <sheet name="TDConsumo" sheetId="4" r:id="rId6"/>
    <sheet name="TDInvestimento" sheetId="8" r:id="rId7"/>
    <sheet name="TDPlanejamento" sheetId="10" r:id="rId8"/>
    <sheet name="Base" sheetId="1" r:id="rId9"/>
  </sheets>
  <definedNames>
    <definedName name="SegmentaçãodeDados_Como_você_avalia_seus_conhecimento_sobre_investimentos?">#N/A</definedName>
    <definedName name="SegmentaçãodeDados_Os_gastos_são_levados__muitas_vezes__pelo_lado_emocional_Qual_destes_comportamentos_influenciam_nas_suas_compras?">#N/A</definedName>
    <definedName name="SegmentaçãodeDados_Você_tem_alguma_dívida_em_atraso?">#N/A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8" l="1"/>
  <c r="F31" i="8"/>
  <c r="F29" i="8"/>
  <c r="F42" i="8"/>
  <c r="F41" i="8"/>
  <c r="G47" i="8"/>
  <c r="G48" i="8"/>
  <c r="G46" i="8"/>
  <c r="F48" i="8"/>
  <c r="F47" i="8"/>
  <c r="F46" i="8"/>
  <c r="D32" i="4" l="1"/>
  <c r="D33" i="4"/>
  <c r="D34" i="4"/>
  <c r="D31" i="4"/>
  <c r="C32" i="4"/>
  <c r="C33" i="4"/>
  <c r="C34" i="4"/>
  <c r="C31" i="4"/>
  <c r="B35" i="4"/>
  <c r="I17" i="2"/>
  <c r="I16" i="2"/>
  <c r="H17" i="2"/>
  <c r="H16" i="2"/>
</calcChain>
</file>

<file path=xl/sharedStrings.xml><?xml version="1.0" encoding="utf-8"?>
<sst xmlns="http://schemas.openxmlformats.org/spreadsheetml/2006/main" count="2093" uniqueCount="185">
  <si>
    <t xml:space="preserve">Qual seu gênero?
</t>
  </si>
  <si>
    <t>Quantos anos você tem?</t>
  </si>
  <si>
    <t xml:space="preserve">Qual sua renda?
</t>
  </si>
  <si>
    <t xml:space="preserve">Qual a renda total da sua familia?
</t>
  </si>
  <si>
    <t>Quantas pessoas moram com você?</t>
  </si>
  <si>
    <t xml:space="preserve">Você é a pessoa com a maior renda da sua casa?
</t>
  </si>
  <si>
    <t>Como você faz seu controle financeiro?</t>
  </si>
  <si>
    <t>Quando você recebe seu salário e ganhos mensais, você controla os seus gastos?</t>
  </si>
  <si>
    <t>Quando você vai fazer compras(Shopping, supermercado, feira, etc), como você se comporta?</t>
  </si>
  <si>
    <t>Como você costuma pagar suas compras?</t>
  </si>
  <si>
    <t xml:space="preserve">Você investe o dinheiro que sobra?
</t>
  </si>
  <si>
    <t xml:space="preserve">Você consegue guardar dinheiro mensalmente?
</t>
  </si>
  <si>
    <t>Os gastos são levados, muitas vezes, pelo lado emocional Qual destes comportamentos influenciam nas suas compras?</t>
  </si>
  <si>
    <t xml:space="preserve">Se a partir de hoje você ficasse desempregado(a), por quanto tempo você garantiria dinheiro para pagar as despesas?
</t>
  </si>
  <si>
    <t xml:space="preserve">Com relação a fatura do cartão de crédito, você geralmente:
</t>
  </si>
  <si>
    <t>Quando é dia de promoção no supermercado, você:</t>
  </si>
  <si>
    <t>Período de férias, para você, é sinônimo de:</t>
  </si>
  <si>
    <t xml:space="preserve">Os seus amigos dizem que você:
</t>
  </si>
  <si>
    <t xml:space="preserve">Como você avalia seus conhecimento sobre investimentos?
</t>
  </si>
  <si>
    <t>Você possui algum objetivo relacionado á investimentos?</t>
  </si>
  <si>
    <t>Você arriscaria seu dinheiro em Investimentos?</t>
  </si>
  <si>
    <t>Por quanto tempo você deseja manter o seu investimento?</t>
  </si>
  <si>
    <t>Qual frase melhor te define na hora de escolher um investimento?</t>
  </si>
  <si>
    <t>O que você prioriza na hora de investir?</t>
  </si>
  <si>
    <t>Como você define seu nível de experiência de mercado?</t>
  </si>
  <si>
    <t>Seu foco é em investimentos a:</t>
  </si>
  <si>
    <t>Caso você queira investir em renda variável, cujo retorno é imprevisível no momento do investimento, quanto da sua renda estaria destinada para isso?</t>
  </si>
  <si>
    <t xml:space="preserve">No fim do mês, seu dinheiro:
</t>
  </si>
  <si>
    <t xml:space="preserve">Você tem alguma dívida em atraso?
</t>
  </si>
  <si>
    <t xml:space="preserve">Você paga suas contas em dia?
</t>
  </si>
  <si>
    <t xml:space="preserve">Quando pretende comprar algo novo, você:
</t>
  </si>
  <si>
    <t>O que você faria se suas ações caíssem 20%?</t>
  </si>
  <si>
    <t xml:space="preserve">Você já possui uma reserva de emergência?
</t>
  </si>
  <si>
    <t>Seu smartphone está em ótimo estado, mas uma versão mais moderna já foi lançada O que faz?</t>
  </si>
  <si>
    <t xml:space="preserve">Você sabe bem quais são as suas despesas mensais?
</t>
  </si>
  <si>
    <t>Masculino</t>
  </si>
  <si>
    <t>Entre 18 á 24 anos</t>
  </si>
  <si>
    <t>menos de um salário mínimo</t>
  </si>
  <si>
    <t>De $5000 ou Mais</t>
  </si>
  <si>
    <t>5 ou mais</t>
  </si>
  <si>
    <t>não</t>
  </si>
  <si>
    <t>Faço uma planilha, ou anoto todos os meus ganhos e gastos do mês</t>
  </si>
  <si>
    <t>Sim, consigo equilibrar meus gastos!</t>
  </si>
  <si>
    <t>Faço uma lista de compras e não compro nada além disso</t>
  </si>
  <si>
    <t>Procuro o melhor preço a vista do produto ou parcelo sem juros Tudo dentro do meu orçamento</t>
  </si>
  <si>
    <t>Poupança</t>
  </si>
  <si>
    <t>Sempre guardo um dinheiro</t>
  </si>
  <si>
    <t>Sinto necessidade de controlar cada centavo!</t>
  </si>
  <si>
    <t>Poderia preservar o mesmo padrão até 1 - 3 meses</t>
  </si>
  <si>
    <t>pago integralmente</t>
  </si>
  <si>
    <t>Compro sempre na mesma data</t>
  </si>
  <si>
    <t>Diversão com planejamento</t>
  </si>
  <si>
    <t>Que você é pão duro</t>
  </si>
  <si>
    <t>Iniciante/Básico</t>
  </si>
  <si>
    <t>Não</t>
  </si>
  <si>
    <t>Sim, risco baixo</t>
  </si>
  <si>
    <t xml:space="preserve"> + 10 anos</t>
  </si>
  <si>
    <t>Invisto com segurança a longo prazo</t>
  </si>
  <si>
    <t>Segurança</t>
  </si>
  <si>
    <t>Estou começando</t>
  </si>
  <si>
    <t>Médio prazo</t>
  </si>
  <si>
    <t>mais de 10%</t>
  </si>
  <si>
    <t>pago as contas e sobra um pouco</t>
  </si>
  <si>
    <t>Não tenho</t>
  </si>
  <si>
    <t>Pago sempre em dia ou antecipado</t>
  </si>
  <si>
    <t>Poupa dinheiro até ter o valor necessário</t>
  </si>
  <si>
    <t>Venderia uma parte das ações</t>
  </si>
  <si>
    <t>Claro! guardo com frequência</t>
  </si>
  <si>
    <t>Você decide continuar utilizando o seu</t>
  </si>
  <si>
    <t>Sim Uso planilha/aplicativo e sei exatamente para onde o meu dinheiro vai</t>
  </si>
  <si>
    <t>Sim</t>
  </si>
  <si>
    <t>De 3 à 10 anos</t>
  </si>
  <si>
    <t>Possua alguma</t>
  </si>
  <si>
    <t>Entre 31 á 36 anos</t>
  </si>
  <si>
    <t>até três salários mínimos</t>
  </si>
  <si>
    <t>4</t>
  </si>
  <si>
    <t>sim</t>
  </si>
  <si>
    <t>Faço uma lista de compras e pesquiso marcas mais em conta</t>
  </si>
  <si>
    <t>CDBs dos bancos</t>
  </si>
  <si>
    <t>Tenho muito disciplina nas finanças</t>
  </si>
  <si>
    <t>É consciente quanto seus gastos</t>
  </si>
  <si>
    <t>Intermediário</t>
  </si>
  <si>
    <t>Sim, risco alto</t>
  </si>
  <si>
    <t>Pesquiso e busco informações</t>
  </si>
  <si>
    <t>Rentabilidade</t>
  </si>
  <si>
    <t>Longo prazo</t>
  </si>
  <si>
    <t>menos de 10%</t>
  </si>
  <si>
    <t xml:space="preserve">Assume parcelas dentro de seu orçamento </t>
  </si>
  <si>
    <t>mais de quatro salários</t>
  </si>
  <si>
    <t>Títulos e ações</t>
  </si>
  <si>
    <t>Sim, entretanto nem todo mês e possível</t>
  </si>
  <si>
    <t>Gosto de arriscar financeiramente</t>
  </si>
  <si>
    <t>Compraria mais</t>
  </si>
  <si>
    <t>Feminino</t>
  </si>
  <si>
    <t>2</t>
  </si>
  <si>
    <t>Aproveita para fazer as compras do mês</t>
  </si>
  <si>
    <t>Descanso, custe o dinheiro que custar</t>
  </si>
  <si>
    <t>Estou começando agora</t>
  </si>
  <si>
    <t>Acima de 40 anos</t>
  </si>
  <si>
    <t>Anoto somente os grandes ganhos e despesas</t>
  </si>
  <si>
    <t>Me sinto ansioso na hora dos gastos</t>
  </si>
  <si>
    <t>Até 3 anos</t>
  </si>
  <si>
    <t>Nenhuma</t>
  </si>
  <si>
    <t>Curto prazo</t>
  </si>
  <si>
    <t>Tenho</t>
  </si>
  <si>
    <t>Atraso de vez enquando</t>
  </si>
  <si>
    <t>Acompanho o saldo no banco e estou sempre de olho nos gastos com o cartão</t>
  </si>
  <si>
    <t>até dois salários mínimos</t>
  </si>
  <si>
    <t>De $1200 ate $2400</t>
  </si>
  <si>
    <t>Não, não anoto meus ganhos e nem meus gastos, por que não acho necessário</t>
  </si>
  <si>
    <t>Tenho uma idéia do que comprar mas não faço uma lista</t>
  </si>
  <si>
    <t>Não sobra dinheiro</t>
  </si>
  <si>
    <t>Manteria o meu padrão de vida por, no máximo, um ano</t>
  </si>
  <si>
    <t>Nem sempre sobra</t>
  </si>
  <si>
    <t>Venderia as suas ações</t>
  </si>
  <si>
    <t>Mesmo sendo muito caro, você compra o smartphone novo e fica sem dinheiro o resto do mês</t>
  </si>
  <si>
    <t>Confesso que queria ter um controle maior, mas não sei por onde começar</t>
  </si>
  <si>
    <t>Entre 25 á 30 anos</t>
  </si>
  <si>
    <t>1</t>
  </si>
  <si>
    <t>Consigo controlar um pouco do salário ou ganhos mas acabo gastando em coisas desnecessárias!</t>
  </si>
  <si>
    <t>Não conseguiria me manter nem por alguns dias</t>
  </si>
  <si>
    <t>Penso sobre</t>
  </si>
  <si>
    <t>De $2500 ate $4000</t>
  </si>
  <si>
    <t>3</t>
  </si>
  <si>
    <t>Não, tenho dificuldades de administrar meus gastos!</t>
  </si>
  <si>
    <t>Não guardo dinheiro</t>
  </si>
  <si>
    <t>Compro muitas coisas por impulso</t>
  </si>
  <si>
    <t>Se empolga e compra até mesmo o que não precisa</t>
  </si>
  <si>
    <t>Um gasto atrás do outro</t>
  </si>
  <si>
    <t>Gasta de forma exagerada</t>
  </si>
  <si>
    <t>sempre falta dinheiro</t>
  </si>
  <si>
    <t>Preciso primeiro pagar as minhas dividas</t>
  </si>
  <si>
    <t>Guardo dinheiro mas nunca gasto comigo</t>
  </si>
  <si>
    <t>Orçamento no limite</t>
  </si>
  <si>
    <t>Não arriscaria</t>
  </si>
  <si>
    <t>não sobra, mas consigo pagar todas as contas</t>
  </si>
  <si>
    <t>Não tenho planejamento do que comprar Decido na hora</t>
  </si>
  <si>
    <t>Pesquiso pela loja mais em conta e parcelo ao máximo</t>
  </si>
  <si>
    <t>Avançado</t>
  </si>
  <si>
    <t>Você escolhe um modelo mais moderno e com o melhor custo benefício</t>
  </si>
  <si>
    <t>Não preciso Vou gastando à medida que tem dinheiro sobrando</t>
  </si>
  <si>
    <t>Não faço pesquisa do produto e compro na primeira loja que entrar</t>
  </si>
  <si>
    <t>Pede dinheiro emprestado</t>
  </si>
  <si>
    <t xml:space="preserve">parcelo o valor da fatura com juros </t>
  </si>
  <si>
    <t>O que é isso?</t>
  </si>
  <si>
    <t>Guardo dinheiro durante o ano e espero uma boa promoção (Black friday, queima de estoque, etc) para comprar a vista</t>
  </si>
  <si>
    <t>Atraso todo mês</t>
  </si>
  <si>
    <t>Rótulos de Linha</t>
  </si>
  <si>
    <t>Total Geral</t>
  </si>
  <si>
    <t xml:space="preserve">Contagem de Qual seu gênero?
</t>
  </si>
  <si>
    <t xml:space="preserve">Contagem de Qual sua renda?
</t>
  </si>
  <si>
    <t xml:space="preserve">Contagem de Você é a pessoa com a maior renda da sua casa?
</t>
  </si>
  <si>
    <t>Contagem de Quantos anos você tem?</t>
  </si>
  <si>
    <t>Contagem de Quantas pessoas moram com você?</t>
  </si>
  <si>
    <t xml:space="preserve">pessoa com a maior renda da sua casa?
</t>
  </si>
  <si>
    <t>%</t>
  </si>
  <si>
    <t>resto</t>
  </si>
  <si>
    <t>Contagem de Quando é dia de promoção no supermercado, você:</t>
  </si>
  <si>
    <t xml:space="preserve">Contagem de Os seus amigos dizem que você:
</t>
  </si>
  <si>
    <t>Contagem de Período de férias, para você, é sinônimo de:</t>
  </si>
  <si>
    <t>Contagem de Os gastos são levados, muitas vezes, pelo lado emocional Qual destes comportamentos influenciam nas suas compras?</t>
  </si>
  <si>
    <t>RESTO</t>
  </si>
  <si>
    <t xml:space="preserve">Contagem de Você investe o dinheiro que sobra?
</t>
  </si>
  <si>
    <t xml:space="preserve">Contagem de Como você avalia seus conhecimento sobre investimentos?
</t>
  </si>
  <si>
    <t>Contagem de Você possui algum objetivo relacionado á investimentos?</t>
  </si>
  <si>
    <t>Contagem de Você arriscaria seu dinheiro em Investimentos?</t>
  </si>
  <si>
    <t>Contagem de Por quanto tempo você deseja manter o seu investimento?</t>
  </si>
  <si>
    <t>Contagem de Qual frase melhor te define na hora de escolher um investimento?</t>
  </si>
  <si>
    <t>Contagem de O que você prioriza na hora de investir?</t>
  </si>
  <si>
    <t>Contagem de Como você define seu nível de experiência de mercado?</t>
  </si>
  <si>
    <t>Contagem de Seu foco é em investimentos a:</t>
  </si>
  <si>
    <t>Contagem de Caso você queira investir em renda variável, cujo retorno é imprevisível no momento do investimento, quanto da sua renda estaria destinada para isso?</t>
  </si>
  <si>
    <t>Nível de experiência</t>
  </si>
  <si>
    <t>qtde</t>
  </si>
  <si>
    <t>Possue alguma</t>
  </si>
  <si>
    <t>Contagem de Como você faz seu controle financeiro?</t>
  </si>
  <si>
    <t>Contagem de Quando você recebe seu salário e ganhos mensais, você controla os seus gastos?</t>
  </si>
  <si>
    <t>Contagem de Quando você vai fazer compras(Shopping, supermercado, feira, etc), como você se comporta?</t>
  </si>
  <si>
    <t>Contagem de Como você costuma pagar suas compras?</t>
  </si>
  <si>
    <t xml:space="preserve">Contagem de Você consegue guardar dinheiro mensalmente?
</t>
  </si>
  <si>
    <t xml:space="preserve">Contagem de Se a partir de hoje você ficasse desempregado(a), por quanto tempo você garantiria dinheiro para pagar as despesas?
</t>
  </si>
  <si>
    <t xml:space="preserve">Contagem de Com relação a fatura do cartão de crédito, você geralmente:
</t>
  </si>
  <si>
    <t xml:space="preserve">Contagem de Você paga suas contas em dia?
</t>
  </si>
  <si>
    <t xml:space="preserve">Contagem de Você tem alguma dívida em atraso?
</t>
  </si>
  <si>
    <t xml:space="preserve">Contagem de No fim do mês, seu dinheiro: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</si>
</sst>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1" applyFont="1" applyBorder="1"/>
    <xf numFmtId="9" fontId="0" fillId="0" borderId="1" xfId="0" applyNumberFormat="1" applyBorder="1"/>
    <xf numFmtId="0" fontId="0" fillId="0" borderId="1" xfId="0" applyBorder="1" applyAlignment="1">
      <alignment horizontal="center" vertical="top" wrapText="1"/>
    </xf>
    <xf numFmtId="9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 indent="1"/>
    </xf>
    <xf numFmtId="9" fontId="2" fillId="0" borderId="1" xfId="1" applyFont="1" applyBorder="1" applyAlignment="1">
      <alignment horizontal="left" indent="1"/>
    </xf>
    <xf numFmtId="9" fontId="2" fillId="0" borderId="1" xfId="0" applyNumberFormat="1" applyFont="1" applyBorder="1" applyAlignment="1">
      <alignment horizontal="left" indent="1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/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9" fontId="0" fillId="0" borderId="0" xfId="1" applyFont="1"/>
  </cellXfs>
  <cellStyles count="2">
    <cellStyle name="Normal" xfId="0" builtinId="0"/>
    <cellStyle name="Porcentagem" xfId="1" builtinId="5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3" tint="-0.2499465926084170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modelo1" pivot="0" table="0" count="10" xr9:uid="{DB5A3B03-AAAA-4AC5-B0EF-F0EC784765C9}">
      <tableStyleElement type="wholeTable" dxfId="36"/>
      <tableStyleElement type="headerRow" dxfId="35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modelo1">
        <x14:slicerStyle name="modelo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[Dashboard_Perfil_Comportamento_Financeiro.xlsm]TDPerfil!TDPerfil02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Qual</a:t>
            </a:r>
            <a:r>
              <a:rPr lang="en-US" baseline="0"/>
              <a:t> sua renda?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TDPerfil!$B$8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TDPerfil!$A$9:$A$13</c:f>
              <c:strCache>
                <c:ptCount val="4"/>
                <c:pt idx="0">
                  <c:v>até dois salários mínimos</c:v>
                </c:pt>
                <c:pt idx="1">
                  <c:v>até três salários mínimos</c:v>
                </c:pt>
                <c:pt idx="2">
                  <c:v>mais de quatro salários</c:v>
                </c:pt>
                <c:pt idx="3">
                  <c:v>menos de um salário mínimo</c:v>
                </c:pt>
              </c:strCache>
            </c:strRef>
          </c:cat>
          <c:val>
            <c:numRef>
              <c:f>TDPerfil!$B$9:$B$13</c:f>
              <c:numCache>
                <c:formatCode>General</c:formatCode>
                <c:ptCount val="4"/>
                <c:pt idx="0">
                  <c:v>30</c:v>
                </c:pt>
                <c:pt idx="1">
                  <c:v>8</c:v>
                </c:pt>
                <c:pt idx="2">
                  <c:v>7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7D-4254-846E-D17617A19D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817129935"/>
        <c:axId val="817130415"/>
      </c:barChart>
      <c:catAx>
        <c:axId val="81712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7130415"/>
        <c:crosses val="autoZero"/>
        <c:auto val="1"/>
        <c:lblAlgn val="ctr"/>
        <c:lblOffset val="100"/>
        <c:noMultiLvlLbl val="0"/>
      </c:catAx>
      <c:valAx>
        <c:axId val="8171304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712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 cap="rnd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[Dashboard_Perfil_Comportamento_Financeiro.xlsm]TDPerfil!TDPerfil04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Quantos</a:t>
            </a:r>
            <a:r>
              <a:rPr lang="en-US" baseline="0"/>
              <a:t> anos você tem?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TDPerfil!$B$20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TDPerfil!$A$21:$A$25</c:f>
              <c:strCache>
                <c:ptCount val="4"/>
                <c:pt idx="0">
                  <c:v>Acima de 40 anos</c:v>
                </c:pt>
                <c:pt idx="1">
                  <c:v>Entre 18 á 24 anos</c:v>
                </c:pt>
                <c:pt idx="2">
                  <c:v>Entre 25 á 30 anos</c:v>
                </c:pt>
                <c:pt idx="3">
                  <c:v>Entre 31 á 36 anos</c:v>
                </c:pt>
              </c:strCache>
            </c:strRef>
          </c:cat>
          <c:val>
            <c:numRef>
              <c:f>TDPerfil!$B$21:$B$25</c:f>
              <c:numCache>
                <c:formatCode>General</c:formatCode>
                <c:ptCount val="4"/>
                <c:pt idx="0">
                  <c:v>8</c:v>
                </c:pt>
                <c:pt idx="1">
                  <c:v>14</c:v>
                </c:pt>
                <c:pt idx="2">
                  <c:v>18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A-406B-8120-78E0BE127F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74857311"/>
        <c:axId val="272892271"/>
      </c:barChart>
      <c:catAx>
        <c:axId val="274857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2892271"/>
        <c:crosses val="autoZero"/>
        <c:auto val="1"/>
        <c:lblAlgn val="ctr"/>
        <c:lblOffset val="100"/>
        <c:noMultiLvlLbl val="0"/>
      </c:catAx>
      <c:valAx>
        <c:axId val="2728922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485731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[Dashboard_Perfil_Comportamento_Financeiro.xlsm]TDPerfil!TDPerfil05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Quantas</a:t>
            </a:r>
            <a:r>
              <a:rPr lang="en-US" baseline="0"/>
              <a:t> pessoas moram juntos?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TDPerfil!$B$27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TDPerfil!$A$28:$A$33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 ou mais</c:v>
                </c:pt>
              </c:strCache>
            </c:strRef>
          </c:cat>
          <c:val>
            <c:numRef>
              <c:f>TDPerfil!$B$28:$B$33</c:f>
              <c:numCache>
                <c:formatCode>General</c:formatCode>
                <c:ptCount val="5"/>
                <c:pt idx="0">
                  <c:v>5</c:v>
                </c:pt>
                <c:pt idx="1">
                  <c:v>11</c:v>
                </c:pt>
                <c:pt idx="2">
                  <c:v>4</c:v>
                </c:pt>
                <c:pt idx="3">
                  <c:v>9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8-46B9-8CCF-F9C7CB2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03957183"/>
        <c:axId val="285983039"/>
      </c:barChart>
      <c:catAx>
        <c:axId val="5039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5983039"/>
        <c:crosses val="autoZero"/>
        <c:auto val="1"/>
        <c:lblAlgn val="ctr"/>
        <c:lblOffset val="100"/>
        <c:noMultiLvlLbl val="0"/>
      </c:catAx>
      <c:valAx>
        <c:axId val="2859830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395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TDPerfil!$F$16</c:f>
              <c:strCache>
                <c:ptCount val="1"/>
                <c:pt idx="0">
                  <c:v>não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8CE-48C7-B275-5147A1B1643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8CE-48C7-B275-5147A1B16431}"/>
              </c:ext>
            </c:extLst>
          </c:dPt>
          <c:val>
            <c:numRef>
              <c:f>TDPerfil!$H$16:$I$16</c:f>
              <c:numCache>
                <c:formatCode>0%</c:formatCode>
                <c:ptCount val="2"/>
                <c:pt idx="0">
                  <c:v>0.60377358490566035</c:v>
                </c:pt>
                <c:pt idx="1">
                  <c:v>0.39622641509433965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E-48C7-B275-5147A1B16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TDPerfil!$F$17</c:f>
              <c:strCache>
                <c:ptCount val="1"/>
                <c:pt idx="0">
                  <c:v>sim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F69-48CA-9F58-73B95EE3CFD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F69-48CA-9F58-73B95EE3CFD5}"/>
              </c:ext>
            </c:extLst>
          </c:dPt>
          <c:val>
            <c:numRef>
              <c:f>TDPerfil!$H$17:$I$17</c:f>
              <c:numCache>
                <c:formatCode>0%</c:formatCode>
                <c:ptCount val="2"/>
                <c:pt idx="0">
                  <c:v>0.39622641509433965</c:v>
                </c:pt>
                <c:pt idx="1">
                  <c:v>0.60377358490566035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69-48CA-9F58-73B95EE3C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[Dashboard_Perfil_Comportamento_Financeiro.xlsm]TDConsumo!TDConsumo01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05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Quando é dia de promoção no supermercado, você:</a:t>
            </a:r>
          </a:p>
        </c:rich>
      </c:tx>
      <c:layout>
        <c:manualLayout>
          <c:xMode val="edge"/>
          <c:yMode val="edge"/>
          <c:x val="7.8047345314959216E-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TDConsumo!$B$3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TDConsumo!$A$4:$A$7</c:f>
              <c:strCache>
                <c:ptCount val="3"/>
                <c:pt idx="0">
                  <c:v>Aproveita para fazer as compras do mês</c:v>
                </c:pt>
                <c:pt idx="1">
                  <c:v>Compro sempre na mesma data</c:v>
                </c:pt>
                <c:pt idx="2">
                  <c:v>Se empolga e compra até mesmo o que não precisa</c:v>
                </c:pt>
              </c:strCache>
            </c:strRef>
          </c:cat>
          <c:val>
            <c:numRef>
              <c:f>TDConsumo!$B$4:$B$7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E-46D3-8222-BD9CB4A2BD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83421071"/>
        <c:axId val="583421551"/>
        <c:axId val="0"/>
      </c:bar3DChart>
      <c:catAx>
        <c:axId val="583421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3421551"/>
        <c:crosses val="autoZero"/>
        <c:auto val="1"/>
        <c:lblAlgn val="ctr"/>
        <c:lblOffset val="100"/>
        <c:noMultiLvlLbl val="0"/>
      </c:catAx>
      <c:valAx>
        <c:axId val="583421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342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[Dashboard_Perfil_Comportamento_Financeiro.xlsm]TDConsumo!TDConsumo02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05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Os seus amigos dizem que você: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TDConsumo!$B$9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TDConsumo!$A$10:$A$13</c:f>
              <c:strCache>
                <c:ptCount val="3"/>
                <c:pt idx="0">
                  <c:v>É consciente quanto seus gastos</c:v>
                </c:pt>
                <c:pt idx="1">
                  <c:v>Gasta de forma exagerada</c:v>
                </c:pt>
                <c:pt idx="2">
                  <c:v>Que você é pão duro</c:v>
                </c:pt>
              </c:strCache>
            </c:strRef>
          </c:cat>
          <c:val>
            <c:numRef>
              <c:f>TDConsumo!$B$10:$B$13</c:f>
              <c:numCache>
                <c:formatCode>General</c:formatCode>
                <c:ptCount val="3"/>
                <c:pt idx="0">
                  <c:v>3</c:v>
                </c:pt>
                <c:pt idx="1">
                  <c:v>19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4-4856-A6BF-F5C16C4148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36715263"/>
        <c:axId val="636723423"/>
        <c:axId val="0"/>
      </c:bar3DChart>
      <c:catAx>
        <c:axId val="63671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6723423"/>
        <c:crosses val="autoZero"/>
        <c:auto val="1"/>
        <c:lblAlgn val="ctr"/>
        <c:lblOffset val="100"/>
        <c:noMultiLvlLbl val="0"/>
      </c:catAx>
      <c:valAx>
        <c:axId val="636723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671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TDConsumo!$A$31</c:f>
              <c:strCache>
                <c:ptCount val="1"/>
                <c:pt idx="0">
                  <c:v>Descanso, custe o dinheiro que custar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0E1-4278-88E1-4ECD082F10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0E1-4278-88E1-4ECD082F10D9}"/>
              </c:ext>
            </c:extLst>
          </c:dPt>
          <c:val>
            <c:numRef>
              <c:f>(TDConsumo!$C$31,TDConsumo!$D$31)</c:f>
              <c:numCache>
                <c:formatCode>0%</c:formatCode>
                <c:ptCount val="2"/>
                <c:pt idx="0">
                  <c:v>7.5471698113207544E-2</c:v>
                </c:pt>
                <c:pt idx="1">
                  <c:v>0.92452830188679247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E1-4278-88E1-4ECD082F1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TDConsumo!$A$32</c:f>
              <c:strCache>
                <c:ptCount val="1"/>
                <c:pt idx="0">
                  <c:v>Diversão com planejamento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708-4A91-B687-16955FFEA6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708-4A91-B687-16955FFEA6B3}"/>
              </c:ext>
            </c:extLst>
          </c:dPt>
          <c:val>
            <c:numRef>
              <c:f>(TDConsumo!$C$32,TDConsumo!$D$32)</c:f>
              <c:numCache>
                <c:formatCode>0%</c:formatCode>
                <c:ptCount val="2"/>
                <c:pt idx="0">
                  <c:v>0.41509433962264153</c:v>
                </c:pt>
                <c:pt idx="1">
                  <c:v>0.58490566037735847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08-4A91-B687-16955FFEA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TDConsumo!$A$33</c:f>
              <c:strCache>
                <c:ptCount val="1"/>
                <c:pt idx="0">
                  <c:v>Orçamento no limite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0EF-4A95-B646-F9A9E46FFAE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EF-4A95-B646-F9A9E46FFAE6}"/>
              </c:ext>
            </c:extLst>
          </c:dPt>
          <c:val>
            <c:numRef>
              <c:f>(TDConsumo!$C$33,TDConsumo!$D$33)</c:f>
              <c:numCache>
                <c:formatCode>0%</c:formatCode>
                <c:ptCount val="2"/>
                <c:pt idx="0">
                  <c:v>0.41509433962264153</c:v>
                </c:pt>
                <c:pt idx="1">
                  <c:v>0.58490566037735847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EF-4A95-B646-F9A9E46FF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TDConsumo!$A$34</c:f>
              <c:strCache>
                <c:ptCount val="1"/>
                <c:pt idx="0">
                  <c:v>Um gasto atrás do outro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B7-444A-8521-B9AB3161CFB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EB7-444A-8521-B9AB3161CFBD}"/>
              </c:ext>
            </c:extLst>
          </c:dPt>
          <c:val>
            <c:numRef>
              <c:f>(TDConsumo!$C$34,TDConsumo!$D$34)</c:f>
              <c:numCache>
                <c:formatCode>0%</c:formatCode>
                <c:ptCount val="2"/>
                <c:pt idx="0">
                  <c:v>9.4339622641509441E-2</c:v>
                </c:pt>
                <c:pt idx="1">
                  <c:v>0.90566037735849059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B7-444A-8521-B9AB3161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[Dashboard_Perfil_Comportamento_Financeiro.xlsm]TDInvestimento!TDInvestimento01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você</a:t>
            </a:r>
            <a:r>
              <a:rPr lang="en-US" sz="1100" baseline="0"/>
              <a:t> investe o dinheiro que sobra?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TDInvestimento!$B$3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TDInvestimento!$A$4:$A$8</c:f>
              <c:strCache>
                <c:ptCount val="4"/>
                <c:pt idx="0">
                  <c:v>CDBs dos bancos</c:v>
                </c:pt>
                <c:pt idx="1">
                  <c:v>Não sobra dinheiro</c:v>
                </c:pt>
                <c:pt idx="2">
                  <c:v>Poupança</c:v>
                </c:pt>
                <c:pt idx="3">
                  <c:v>Títulos e ações</c:v>
                </c:pt>
              </c:strCache>
            </c:strRef>
          </c:cat>
          <c:val>
            <c:numRef>
              <c:f>TDInvestimento!$B$4:$B$8</c:f>
              <c:numCache>
                <c:formatCode>General</c:formatCode>
                <c:ptCount val="4"/>
                <c:pt idx="0">
                  <c:v>5</c:v>
                </c:pt>
                <c:pt idx="1">
                  <c:v>30</c:v>
                </c:pt>
                <c:pt idx="2">
                  <c:v>14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A-4177-94B4-98C91CC8C1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8815007"/>
        <c:axId val="38812127"/>
        <c:axId val="0"/>
      </c:bar3DChart>
      <c:catAx>
        <c:axId val="38815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12127"/>
        <c:crosses val="autoZero"/>
        <c:auto val="1"/>
        <c:lblAlgn val="ctr"/>
        <c:lblOffset val="100"/>
        <c:noMultiLvlLbl val="0"/>
      </c:catAx>
      <c:valAx>
        <c:axId val="388121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81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[Dashboard_Perfil_Comportamento_Financeiro.xlsm]TDInvestimento!TDinvestimento04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50" b="1"/>
              <a:t>Voce arriscaria dinheiro em investimento?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TDInvestimento!$B$22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TDInvestimento!$A$23:$A$26</c:f>
              <c:strCache>
                <c:ptCount val="3"/>
                <c:pt idx="0">
                  <c:v>Não arriscaria</c:v>
                </c:pt>
                <c:pt idx="1">
                  <c:v>Sim, risco alto</c:v>
                </c:pt>
                <c:pt idx="2">
                  <c:v>Sim, risco baixo</c:v>
                </c:pt>
              </c:strCache>
            </c:strRef>
          </c:cat>
          <c:val>
            <c:numRef>
              <c:f>TDInvestimento!$B$23:$B$26</c:f>
              <c:numCache>
                <c:formatCode>General</c:formatCode>
                <c:ptCount val="3"/>
                <c:pt idx="0">
                  <c:v>22</c:v>
                </c:pt>
                <c:pt idx="1">
                  <c:v>4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80-444C-A820-52A1C6D035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37054255"/>
        <c:axId val="637051855"/>
        <c:axId val="0"/>
      </c:bar3DChart>
      <c:catAx>
        <c:axId val="637054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7051855"/>
        <c:crosses val="autoZero"/>
        <c:auto val="1"/>
        <c:lblAlgn val="ctr"/>
        <c:lblOffset val="100"/>
        <c:noMultiLvlLbl val="0"/>
      </c:catAx>
      <c:valAx>
        <c:axId val="6370518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7054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[Dashboard_Perfil_Comportamento_Financeiro.xlsm]TDInvestimento!TDinvestimento03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Você</a:t>
            </a:r>
            <a:r>
              <a:rPr lang="en-US" sz="1100" b="1" baseline="0"/>
              <a:t> possui algum objetivo sobre  investimento?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TDInvestimento!$B$16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TDInvestimento!$A$17:$A$20</c:f>
              <c:strCache>
                <c:ptCount val="3"/>
                <c:pt idx="0">
                  <c:v>Não</c:v>
                </c:pt>
                <c:pt idx="1">
                  <c:v>Penso sobre</c:v>
                </c:pt>
                <c:pt idx="2">
                  <c:v>Sim</c:v>
                </c:pt>
              </c:strCache>
            </c:strRef>
          </c:cat>
          <c:val>
            <c:numRef>
              <c:f>TDInvestimento!$B$17:$B$20</c:f>
              <c:numCache>
                <c:formatCode>General</c:formatCode>
                <c:ptCount val="3"/>
                <c:pt idx="0">
                  <c:v>13</c:v>
                </c:pt>
                <c:pt idx="1">
                  <c:v>24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9-4290-83B6-5A5C93BEC7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67468015"/>
        <c:axId val="667461775"/>
        <c:axId val="0"/>
      </c:bar3DChart>
      <c:catAx>
        <c:axId val="66746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461775"/>
        <c:crosses val="autoZero"/>
        <c:auto val="1"/>
        <c:lblAlgn val="ctr"/>
        <c:lblOffset val="100"/>
        <c:noMultiLvlLbl val="0"/>
      </c:catAx>
      <c:valAx>
        <c:axId val="667461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46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[Dashboard_Perfil_Comportamento_Financeiro.xlsm]TDInvestimento!TDinvestimento09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Seu foco é em investimento a: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TDInvestimento!$B$51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TDInvestimento!$A$52:$A$55</c:f>
              <c:strCache>
                <c:ptCount val="3"/>
                <c:pt idx="0">
                  <c:v>Curto prazo</c:v>
                </c:pt>
                <c:pt idx="1">
                  <c:v>Longo prazo</c:v>
                </c:pt>
                <c:pt idx="2">
                  <c:v>Médio prazo</c:v>
                </c:pt>
              </c:strCache>
            </c:strRef>
          </c:cat>
          <c:val>
            <c:numRef>
              <c:f>TDInvestimento!$B$52:$B$55</c:f>
              <c:numCache>
                <c:formatCode>General</c:formatCode>
                <c:ptCount val="3"/>
                <c:pt idx="0">
                  <c:v>15</c:v>
                </c:pt>
                <c:pt idx="1">
                  <c:v>7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B41-9B56-1601431D7A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2294255"/>
        <c:axId val="12294735"/>
        <c:axId val="0"/>
      </c:bar3DChart>
      <c:catAx>
        <c:axId val="1229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94735"/>
        <c:crosses val="autoZero"/>
        <c:auto val="1"/>
        <c:lblAlgn val="ctr"/>
        <c:lblOffset val="100"/>
        <c:noMultiLvlLbl val="0"/>
      </c:catAx>
      <c:valAx>
        <c:axId val="1229473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294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[Dashboard_Perfil_Comportamento_Financeiro.xlsm]TDInvestimento!TDinvestimento10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Quanto</a:t>
            </a:r>
            <a:r>
              <a:rPr lang="en-US" sz="1400" b="1" baseline="0"/>
              <a:t> você investiria em renda variável?</a:t>
            </a:r>
            <a:endParaRPr lang="en-US" sz="14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TDInvestimento!$B$57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TDInvestimento!$A$58:$A$60</c:f>
              <c:strCache>
                <c:ptCount val="2"/>
                <c:pt idx="0">
                  <c:v>mais de 10%</c:v>
                </c:pt>
                <c:pt idx="1">
                  <c:v>menos de 10%</c:v>
                </c:pt>
              </c:strCache>
            </c:strRef>
          </c:cat>
          <c:val>
            <c:numRef>
              <c:f>TDInvestimento!$B$58:$B$60</c:f>
              <c:numCache>
                <c:formatCode>General</c:formatCode>
                <c:ptCount val="2"/>
                <c:pt idx="0">
                  <c:v>12</c:v>
                </c:pt>
                <c:pt idx="1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D-4774-8FAD-EFDD098E0B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67469455"/>
        <c:axId val="667471855"/>
        <c:axId val="0"/>
      </c:bar3DChart>
      <c:catAx>
        <c:axId val="66746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471855"/>
        <c:crosses val="autoZero"/>
        <c:auto val="1"/>
        <c:lblAlgn val="ctr"/>
        <c:lblOffset val="100"/>
        <c:noMultiLvlLbl val="0"/>
      </c:catAx>
      <c:valAx>
        <c:axId val="66747185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6746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[Dashboard_Perfil_Comportamento_Financeiro.xlsm]TDInvestimento!TDinvestimento06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Qual</a:t>
            </a:r>
            <a:r>
              <a:rPr lang="en-US" sz="1200" b="1" baseline="0"/>
              <a:t> frase te define na hora de investir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TDInvestimento!$B$34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TDInvestimento!$A$35:$A$38</c:f>
              <c:strCache>
                <c:ptCount val="3"/>
                <c:pt idx="0">
                  <c:v>Gosto de arriscar financeiramente</c:v>
                </c:pt>
                <c:pt idx="1">
                  <c:v>Invisto com segurança a longo prazo</c:v>
                </c:pt>
                <c:pt idx="2">
                  <c:v>Pesquiso e busco informações</c:v>
                </c:pt>
              </c:strCache>
            </c:strRef>
          </c:cat>
          <c:val>
            <c:numRef>
              <c:f>TDInvestimento!$B$35:$B$38</c:f>
              <c:numCache>
                <c:formatCode>General</c:formatCode>
                <c:ptCount val="3"/>
                <c:pt idx="0">
                  <c:v>2</c:v>
                </c:pt>
                <c:pt idx="1">
                  <c:v>17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C-4A05-ABA0-DEA371028F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67465615"/>
        <c:axId val="667469935"/>
        <c:axId val="0"/>
      </c:bar3DChart>
      <c:catAx>
        <c:axId val="66746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469935"/>
        <c:crosses val="autoZero"/>
        <c:auto val="1"/>
        <c:lblAlgn val="ctr"/>
        <c:lblOffset val="100"/>
        <c:noMultiLvlLbl val="0"/>
      </c:catAx>
      <c:valAx>
        <c:axId val="667469935"/>
        <c:scaling>
          <c:orientation val="minMax"/>
        </c:scaling>
        <c:delete val="1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crossAx val="667465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285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200"/>
              <a:t>Nível de experiência de mercado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946837747513134"/>
          <c:y val="0.1807055080827995"/>
          <c:w val="0.37545221032266635"/>
          <c:h val="0.697926418612901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553-40B4-8993-F41BAC5A74A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553-40B4-8993-F41BAC5A74A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553-40B4-8993-F41BAC5A74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TDInvestimento!$D$46:$D$48</c:f>
              <c:strCache>
                <c:ptCount val="3"/>
                <c:pt idx="0">
                  <c:v>Estou começando</c:v>
                </c:pt>
                <c:pt idx="1">
                  <c:v>Nenhuma</c:v>
                </c:pt>
                <c:pt idx="2">
                  <c:v>Possue alguma</c:v>
                </c:pt>
              </c:strCache>
            </c:strRef>
          </c:cat>
          <c:val>
            <c:numRef>
              <c:f>TDInvestimento!$F$46:$F$48</c:f>
              <c:numCache>
                <c:formatCode>0%</c:formatCode>
                <c:ptCount val="3"/>
                <c:pt idx="0">
                  <c:v>0.35849056603773582</c:v>
                </c:pt>
                <c:pt idx="1">
                  <c:v>0.20754716981132076</c:v>
                </c:pt>
                <c:pt idx="2">
                  <c:v>0.43396226415094341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53-40B4-8993-F41BAC5A74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900"/>
              <a:t>O</a:t>
            </a:r>
            <a:r>
              <a:rPr lang="pt-BR" sz="900" baseline="0"/>
              <a:t> que você prioriza na hora de investir</a:t>
            </a:r>
            <a:endParaRPr lang="pt-BR" sz="9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2405179467829586"/>
          <c:y val="0.25861352403375149"/>
          <c:w val="0.30996964407536637"/>
          <c:h val="0.69917937343659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D8-49B1-BC1A-843BE4B711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D8-49B1-BC1A-843BE4B711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TDInvestimento!$D$41:$D$42</c:f>
              <c:strCache>
                <c:ptCount val="2"/>
                <c:pt idx="0">
                  <c:v>Rentabilidade</c:v>
                </c:pt>
                <c:pt idx="1">
                  <c:v>Segurança</c:v>
                </c:pt>
              </c:strCache>
            </c:strRef>
          </c:cat>
          <c:val>
            <c:numRef>
              <c:f>TDInvestimento!$F$41:$F$42</c:f>
              <c:numCache>
                <c:formatCode>0%</c:formatCode>
                <c:ptCount val="2"/>
                <c:pt idx="0">
                  <c:v>0.28301886792452829</c:v>
                </c:pt>
                <c:pt idx="1">
                  <c:v>0.71698113207547165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D8-49B1-BC1A-843BE4B711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Tempo</a:t>
            </a:r>
            <a:r>
              <a:rPr lang="pt-BR" sz="1100" baseline="0"/>
              <a:t> de investimento desejável</a:t>
            </a:r>
            <a:endParaRPr lang="pt-BR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088641147579326"/>
          <c:y val="0.20297834012543609"/>
          <c:w val="0.33530926950962808"/>
          <c:h val="0.6597316045683178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1FB-46B9-B5D0-B6C7AC3FDA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1FB-46B9-B5D0-B6C7AC3FDA5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1FB-46B9-B5D0-B6C7AC3FDA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TDInvestimento!$D$29:$D$31</c:f>
              <c:strCache>
                <c:ptCount val="3"/>
                <c:pt idx="0">
                  <c:v> + 10 anos</c:v>
                </c:pt>
                <c:pt idx="1">
                  <c:v>Até 3 anos</c:v>
                </c:pt>
                <c:pt idx="2">
                  <c:v>De 3 à 10 anos</c:v>
                </c:pt>
              </c:strCache>
            </c:strRef>
          </c:cat>
          <c:val>
            <c:numRef>
              <c:f>TDInvestimento!$F$29:$F$31</c:f>
              <c:numCache>
                <c:formatCode>0%</c:formatCode>
                <c:ptCount val="3"/>
                <c:pt idx="0">
                  <c:v>0.16981132075471697</c:v>
                </c:pt>
                <c:pt idx="1">
                  <c:v>0.58490566037735847</c:v>
                </c:pt>
                <c:pt idx="2">
                  <c:v>0.24528301886792453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FB-46B9-B5D0-B6C7AC3FD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9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Como você se comporta quando vai ás compras?</a:t>
            </a:r>
          </a:p>
        </c:rich>
      </c:tx>
      <c:layout>
        <c:manualLayout>
          <c:xMode val="edge"/>
          <c:yMode val="edge"/>
          <c:x val="8.7827808686356146E-2"/>
          <c:y val="5.0473186119873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9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TDPlanejamento!$B$15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TDPlanejamento!$A$16:$A$20</c:f>
              <c:strCache>
                <c:ptCount val="4"/>
                <c:pt idx="0">
                  <c:v>Faço uma lista de compras e não compro nada além disso</c:v>
                </c:pt>
                <c:pt idx="1">
                  <c:v>Faço uma lista de compras e pesquiso marcas mais em conta</c:v>
                </c:pt>
                <c:pt idx="2">
                  <c:v>Não tenho planejamento do que comprar Decido na hora</c:v>
                </c:pt>
                <c:pt idx="3">
                  <c:v>Tenho uma idéia do que comprar mas não faço uma lista</c:v>
                </c:pt>
              </c:strCache>
            </c:strRef>
          </c:cat>
          <c:val>
            <c:numRef>
              <c:f>TDPlanejamento!$B$16:$B$20</c:f>
              <c:numCache>
                <c:formatCode>General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1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B-456D-AD9A-3F4FEADF95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942911807"/>
        <c:axId val="942925727"/>
        <c:axId val="0"/>
      </c:bar3DChart>
      <c:catAx>
        <c:axId val="9429118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2925727"/>
        <c:crosses val="autoZero"/>
        <c:auto val="1"/>
        <c:lblAlgn val="l"/>
        <c:lblOffset val="100"/>
        <c:noMultiLvlLbl val="0"/>
      </c:catAx>
      <c:valAx>
        <c:axId val="942925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2911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0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Como você faz seu controle financeiro?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TDPlanejamento!$B$3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TDPlanejamento!$A$4:$A$7</c:f>
              <c:strCache>
                <c:ptCount val="3"/>
                <c:pt idx="0">
                  <c:v>Anoto somente os grandes ganhos e despesas</c:v>
                </c:pt>
                <c:pt idx="1">
                  <c:v>Faço uma planilha, ou anoto todos os meus ganhos e gastos do mês</c:v>
                </c:pt>
                <c:pt idx="2">
                  <c:v>Não, não anoto meus ganhos e nem meus gastos, por que não acho necessário</c:v>
                </c:pt>
              </c:strCache>
            </c:strRef>
          </c:cat>
          <c:val>
            <c:numRef>
              <c:f>TDPlanejamento!$B$4:$B$7</c:f>
              <c:numCache>
                <c:formatCode>General</c:formatCode>
                <c:ptCount val="3"/>
                <c:pt idx="0">
                  <c:v>6</c:v>
                </c:pt>
                <c:pt idx="1">
                  <c:v>17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E4-4051-AA2A-53C095724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109571775"/>
        <c:axId val="1109572255"/>
        <c:axId val="0"/>
      </c:bar3DChart>
      <c:catAx>
        <c:axId val="1109571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572255"/>
        <c:crosses val="autoZero"/>
        <c:auto val="1"/>
        <c:lblAlgn val="ctr"/>
        <c:lblOffset val="100"/>
        <c:noMultiLvlLbl val="0"/>
      </c:catAx>
      <c:valAx>
        <c:axId val="1109572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9571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0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Como você costuma pagar suas compras?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TDPlanejamento!$B$22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TDPlanejamento!$A$23:$A$27</c:f>
              <c:strCache>
                <c:ptCount val="4"/>
                <c:pt idx="0">
                  <c:v>Guardo dinheiro durante o ano e espero uma boa promoção (Black friday, queima de estoque, etc) para comprar a vista</c:v>
                </c:pt>
                <c:pt idx="1">
                  <c:v>Não faço pesquisa do produto e compro na primeira loja que entrar</c:v>
                </c:pt>
                <c:pt idx="2">
                  <c:v>Pesquiso pela loja mais em conta e parcelo ao máximo</c:v>
                </c:pt>
                <c:pt idx="3">
                  <c:v>Procuro o melhor preço a vista do produto ou parcelo sem juros Tudo dentro do meu orçamento</c:v>
                </c:pt>
              </c:strCache>
            </c:strRef>
          </c:cat>
          <c:val>
            <c:numRef>
              <c:f>TDPlanejamento!$B$23:$B$27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46-4898-93D1-202BDC7C15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109575615"/>
        <c:axId val="1109573215"/>
        <c:axId val="0"/>
      </c:bar3DChart>
      <c:catAx>
        <c:axId val="1109575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573215"/>
        <c:crosses val="autoZero"/>
        <c:auto val="1"/>
        <c:lblAlgn val="ctr"/>
        <c:lblOffset val="100"/>
        <c:noMultiLvlLbl val="0"/>
      </c:catAx>
      <c:valAx>
        <c:axId val="110957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9575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2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Você consegue guardar dinheiro mensalmente?</a:t>
            </a:r>
            <a:endParaRPr lang="pt-BR" sz="14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TDPlanejamento!$B$29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TDPlanejamento!$A$30:$A$33</c:f>
              <c:strCache>
                <c:ptCount val="3"/>
                <c:pt idx="0">
                  <c:v>Não guardo dinheiro</c:v>
                </c:pt>
                <c:pt idx="1">
                  <c:v>Sempre guardo um dinheiro</c:v>
                </c:pt>
                <c:pt idx="2">
                  <c:v>Sim, entretanto nem todo mês e possível</c:v>
                </c:pt>
              </c:strCache>
            </c:strRef>
          </c:cat>
          <c:val>
            <c:numRef>
              <c:f>TDPlanejamento!$B$30:$B$33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9-41E3-9F85-A76704AFE9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109597215"/>
        <c:axId val="1109597695"/>
        <c:axId val="0"/>
      </c:bar3DChart>
      <c:catAx>
        <c:axId val="1109597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597695"/>
        <c:crosses val="autoZero"/>
        <c:auto val="1"/>
        <c:lblAlgn val="ctr"/>
        <c:lblOffset val="100"/>
        <c:noMultiLvlLbl val="0"/>
      </c:catAx>
      <c:valAx>
        <c:axId val="11095976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0959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2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Você paga suas contas em dia?</a:t>
            </a:r>
            <a:endParaRPr lang="pt-BR" sz="14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TDPlanejamento!$B$47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TDPlanejamento!$A$48:$A$50</c:f>
              <c:strCache>
                <c:ptCount val="2"/>
                <c:pt idx="0">
                  <c:v>Atraso de vez enquando</c:v>
                </c:pt>
                <c:pt idx="1">
                  <c:v>Pago sempre em dia ou antecipado</c:v>
                </c:pt>
              </c:strCache>
            </c:strRef>
          </c:cat>
          <c:val>
            <c:numRef>
              <c:f>TDPlanejamento!$B$48:$B$50</c:f>
              <c:numCache>
                <c:formatCode>General</c:formatCode>
                <c:ptCount val="2"/>
                <c:pt idx="0">
                  <c:v>1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F-49B1-BD05-4768B140AE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109590495"/>
        <c:axId val="1109586175"/>
        <c:axId val="0"/>
      </c:bar3DChart>
      <c:catAx>
        <c:axId val="110959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586175"/>
        <c:crosses val="autoZero"/>
        <c:auto val="1"/>
        <c:lblAlgn val="ctr"/>
        <c:lblOffset val="100"/>
        <c:noMultiLvlLbl val="0"/>
      </c:catAx>
      <c:valAx>
        <c:axId val="110958617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0959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cap="all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1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No fim do mês, seu dinheiro:</a:t>
            </a:r>
            <a:endParaRPr lang="pt-BR" sz="12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cap="all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TDPlanejamento!$B$58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TDPlanejamento!$A$59:$A$63</c:f>
              <c:strCache>
                <c:ptCount val="4"/>
                <c:pt idx="0">
                  <c:v>não sobra, mas consigo pagar todas as contas</c:v>
                </c:pt>
                <c:pt idx="1">
                  <c:v>Nem sempre sobra</c:v>
                </c:pt>
                <c:pt idx="2">
                  <c:v>pago as contas e sobra um pouco</c:v>
                </c:pt>
                <c:pt idx="3">
                  <c:v>sempre falta dinheiro</c:v>
                </c:pt>
              </c:strCache>
            </c:strRef>
          </c:cat>
          <c:val>
            <c:numRef>
              <c:f>TDPlanejamento!$B$59:$B$63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18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8F-4F47-8F0E-CFB2040EC44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299197519"/>
        <c:axId val="1299185039"/>
        <c:axId val="0"/>
      </c:bar3DChart>
      <c:catAx>
        <c:axId val="129919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9185039"/>
        <c:crosses val="autoZero"/>
        <c:auto val="1"/>
        <c:lblAlgn val="ctr"/>
        <c:lblOffset val="100"/>
        <c:noMultiLvlLbl val="0"/>
      </c:catAx>
      <c:valAx>
        <c:axId val="12991850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9919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8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Você controla os seus gastos quando vai as compras?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976377488068531E-2"/>
          <c:y val="0.29530987227742306"/>
          <c:w val="0.40862519494173333"/>
          <c:h val="0.54773677703142187"/>
        </c:manualLayout>
      </c:layout>
      <c:doughnutChart>
        <c:varyColors val="1"/>
        <c:ser>
          <c:idx val="0"/>
          <c:order val="0"/>
          <c:tx>
            <c:strRef>
              <c:f>TDPlanejamento!$B$9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64F-4080-BF49-83114043651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64F-4080-BF49-83114043651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64F-4080-BF49-83114043651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4F-4080-BF49-83114043651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F-4080-BF49-83114043651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64F-4080-BF49-8311404365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TDPlanejamento!$A$10:$A$13</c:f>
              <c:strCache>
                <c:ptCount val="3"/>
                <c:pt idx="0">
                  <c:v>Consigo controlar um pouco do salário ou ganhos mas acabo gastando em coisas desnecessárias!</c:v>
                </c:pt>
                <c:pt idx="1">
                  <c:v>Não, tenho dificuldades de administrar meus gastos!</c:v>
                </c:pt>
                <c:pt idx="2">
                  <c:v>Sim, consigo equilibrar meus gastos!</c:v>
                </c:pt>
              </c:strCache>
            </c:strRef>
          </c:cat>
          <c:val>
            <c:numRef>
              <c:f>TDPlanejamento!$B$10:$B$13</c:f>
              <c:numCache>
                <c:formatCode>General</c:formatCode>
                <c:ptCount val="3"/>
                <c:pt idx="0">
                  <c:v>7</c:v>
                </c:pt>
                <c:pt idx="1">
                  <c:v>2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4F-4080-BF49-83114043651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602538532070985"/>
          <c:y val="0.28295414370791977"/>
          <c:w val="0.456701897341798"/>
          <c:h val="0.65443220194972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800"/>
              <a:t>Por</a:t>
            </a:r>
            <a:r>
              <a:rPr lang="en-US" sz="800" baseline="0"/>
              <a:t> quanto tempo teria dinheiro para pagar despesas caso seja demitido</a:t>
            </a:r>
            <a:endParaRPr lang="en-US" sz="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876564892247737"/>
          <c:y val="0.35101084266579358"/>
          <c:w val="0.26691462496147689"/>
          <c:h val="0.58483170276073926"/>
        </c:manualLayout>
      </c:layout>
      <c:doughnutChart>
        <c:varyColors val="1"/>
        <c:ser>
          <c:idx val="0"/>
          <c:order val="0"/>
          <c:tx>
            <c:strRef>
              <c:f>TDPlanejamento!$B$36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2F1-42DE-B068-EFDD7BDEB23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2F1-42DE-B068-EFDD7BDEB23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2F1-42DE-B068-EFDD7BDEB23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F1-42DE-B068-EFDD7BDEB2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F1-42DE-B068-EFDD7BDEB2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F1-42DE-B068-EFDD7BDEB2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TDPlanejamento!$A$37:$A$40</c:f>
              <c:strCache>
                <c:ptCount val="3"/>
                <c:pt idx="0">
                  <c:v>Manteria o meu padrão de vida por, no máximo, um ano</c:v>
                </c:pt>
                <c:pt idx="1">
                  <c:v>Não conseguiria me manter nem por alguns dias</c:v>
                </c:pt>
                <c:pt idx="2">
                  <c:v>Poderia preservar o mesmo padrão até 1 - 3 meses</c:v>
                </c:pt>
              </c:strCache>
            </c:strRef>
          </c:cat>
          <c:val>
            <c:numRef>
              <c:f>TDPlanejamento!$B$37:$B$40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F1-42DE-B068-EFDD7BDEB23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39911159112087"/>
          <c:y val="0.34150064035281996"/>
          <c:w val="0.43067065201806481"/>
          <c:h val="0.535061724234224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[Dashboard_Perfil_Comportamento_Financeiro.xlsm]TDPlanejamento!TDPlanejamento07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200"/>
              <a:t>Com</a:t>
            </a:r>
            <a:r>
              <a:rPr lang="en-US" sz="1200" baseline="0"/>
              <a:t> relação ao cartão de crédito, você: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TDPlanejamento!$B$42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56-424F-93D4-9E96267ACE9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56-424F-93D4-9E96267ACE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TDPlanejamento!$A$43:$A$45</c:f>
              <c:strCache>
                <c:ptCount val="2"/>
                <c:pt idx="0">
                  <c:v>pago integralmente</c:v>
                </c:pt>
                <c:pt idx="1">
                  <c:v>parcelo o valor da fatura com juros </c:v>
                </c:pt>
              </c:strCache>
            </c:strRef>
          </c:cat>
          <c:val>
            <c:numRef>
              <c:f>TDPlanejamento!$B$43:$B$45</c:f>
              <c:numCache>
                <c:formatCode>General</c:formatCode>
                <c:ptCount val="2"/>
                <c:pt idx="0">
                  <c:v>27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56-424F-93D4-9E96267AC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29009409539513"/>
          <c:y val="0.44391152211176921"/>
          <c:w val="0.3867796752628021"/>
          <c:h val="0.3619594789594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bg1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11" Type="http://schemas.openxmlformats.org/officeDocument/2006/relationships/hyperlink" Target="#Planejamento!A1"/><Relationship Id="rId5" Type="http://schemas.openxmlformats.org/officeDocument/2006/relationships/chart" Target="../charts/chart5.xml"/><Relationship Id="rId10" Type="http://schemas.openxmlformats.org/officeDocument/2006/relationships/hyperlink" Target="#investimento!A1"/><Relationship Id="rId4" Type="http://schemas.openxmlformats.org/officeDocument/2006/relationships/chart" Target="../charts/chart4.xml"/><Relationship Id="rId9" Type="http://schemas.openxmlformats.org/officeDocument/2006/relationships/hyperlink" Target="#Consum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investimento!A1"/><Relationship Id="rId3" Type="http://schemas.openxmlformats.org/officeDocument/2006/relationships/chart" Target="../charts/chart8.xml"/><Relationship Id="rId7" Type="http://schemas.openxmlformats.org/officeDocument/2006/relationships/hyperlink" Target="#Perfil!A1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Relationship Id="rId9" Type="http://schemas.openxmlformats.org/officeDocument/2006/relationships/hyperlink" Target="#Planejament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hyperlink" Target="#Planejamento!A1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hyperlink" Target="#Consumo!A1"/><Relationship Id="rId5" Type="http://schemas.openxmlformats.org/officeDocument/2006/relationships/chart" Target="../charts/chart16.xml"/><Relationship Id="rId10" Type="http://schemas.openxmlformats.org/officeDocument/2006/relationships/hyperlink" Target="#Perfil!A1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erfil!A1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29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28.xml"/><Relationship Id="rId5" Type="http://schemas.openxmlformats.org/officeDocument/2006/relationships/chart" Target="../charts/chart25.xml"/><Relationship Id="rId10" Type="http://schemas.openxmlformats.org/officeDocument/2006/relationships/hyperlink" Target="#investimento!A1"/><Relationship Id="rId4" Type="http://schemas.openxmlformats.org/officeDocument/2006/relationships/chart" Target="../charts/chart24.xml"/><Relationship Id="rId9" Type="http://schemas.openxmlformats.org/officeDocument/2006/relationships/hyperlink" Target="#Consum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601692</xdr:colOff>
      <xdr:row>5</xdr:row>
      <xdr:rowOff>98843</xdr:rowOff>
    </xdr:from>
    <xdr:to>
      <xdr:col>17</xdr:col>
      <xdr:colOff>54993</xdr:colOff>
      <xdr:row>27</xdr:row>
      <xdr:rowOff>66674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8FA1C75-2A1A-DD6E-A1F1-BC347DBB9CB5}"/>
            </a:ext>
          </a:extLst>
        </xdr:cNvPr>
        <xdr:cNvSpPr/>
      </xdr:nvSpPr>
      <xdr:spPr>
        <a:xfrm>
          <a:off x="7916892" y="1051343"/>
          <a:ext cx="2501301" cy="4158831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323850</xdr:colOff>
      <xdr:row>0</xdr:row>
      <xdr:rowOff>161925</xdr:rowOff>
    </xdr:from>
    <xdr:to>
      <xdr:col>17</xdr:col>
      <xdr:colOff>76200</xdr:colOff>
      <xdr:row>5</xdr:row>
      <xdr:rowOff>8986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CCB5EF-0904-CAC8-4711-CC81D5488E75}"/>
            </a:ext>
          </a:extLst>
        </xdr:cNvPr>
        <xdr:cNvSpPr/>
      </xdr:nvSpPr>
      <xdr:spPr>
        <a:xfrm>
          <a:off x="1543050" y="161925"/>
          <a:ext cx="8896350" cy="799561"/>
        </a:xfrm>
        <a:prstGeom prst="roundRect">
          <a:avLst>
            <a:gd name="adj" fmla="val 0"/>
          </a:avLst>
        </a:prstGeom>
        <a:solidFill>
          <a:schemeClr val="bg2">
            <a:lumMod val="2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66675</xdr:colOff>
      <xdr:row>1</xdr:row>
      <xdr:rowOff>161925</xdr:rowOff>
    </xdr:from>
    <xdr:to>
      <xdr:col>9</xdr:col>
      <xdr:colOff>495300</xdr:colOff>
      <xdr:row>5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66E3728-91FB-24FD-13FC-11533CA03E55}"/>
            </a:ext>
          </a:extLst>
        </xdr:cNvPr>
        <xdr:cNvSpPr txBox="1"/>
      </xdr:nvSpPr>
      <xdr:spPr>
        <a:xfrm>
          <a:off x="1895475" y="352425"/>
          <a:ext cx="408622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PERFIL DOS</a:t>
          </a:r>
          <a:r>
            <a:rPr lang="pt-BR" sz="2400" b="1" baseline="0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 ENTREVISTADOS</a:t>
          </a:r>
          <a:endParaRPr lang="pt-BR" sz="2400" b="1">
            <a:solidFill>
              <a:schemeClr val="bg1"/>
            </a:solidFill>
            <a:latin typeface="Franklin Gothic Book" panose="020B05030201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332474</xdr:colOff>
      <xdr:row>5</xdr:row>
      <xdr:rowOff>107829</xdr:rowOff>
    </xdr:from>
    <xdr:to>
      <xdr:col>8</xdr:col>
      <xdr:colOff>44928</xdr:colOff>
      <xdr:row>16</xdr:row>
      <xdr:rowOff>35943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BE06A4A-7C3E-4A63-9B4E-A358C0C90B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332477</xdr:colOff>
      <xdr:row>16</xdr:row>
      <xdr:rowOff>89859</xdr:rowOff>
    </xdr:from>
    <xdr:to>
      <xdr:col>8</xdr:col>
      <xdr:colOff>44929</xdr:colOff>
      <xdr:row>27</xdr:row>
      <xdr:rowOff>53915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A20D7BE-86AE-413C-90BC-D00F49D63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145389</xdr:colOff>
      <xdr:row>5</xdr:row>
      <xdr:rowOff>108879</xdr:rowOff>
    </xdr:from>
    <xdr:to>
      <xdr:col>12</xdr:col>
      <xdr:colOff>468880</xdr:colOff>
      <xdr:row>27</xdr:row>
      <xdr:rowOff>57151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3682257-BA59-4E60-9FB0-38329AE31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46008</xdr:colOff>
      <xdr:row>7</xdr:row>
      <xdr:rowOff>170731</xdr:rowOff>
    </xdr:from>
    <xdr:to>
      <xdr:col>17</xdr:col>
      <xdr:colOff>37022</xdr:colOff>
      <xdr:row>17</xdr:row>
      <xdr:rowOff>125802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7172961-DB9F-4F95-9D76-B1036F871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37021</xdr:colOff>
      <xdr:row>17</xdr:row>
      <xdr:rowOff>125798</xdr:rowOff>
    </xdr:from>
    <xdr:to>
      <xdr:col>17</xdr:col>
      <xdr:colOff>46007</xdr:colOff>
      <xdr:row>27</xdr:row>
      <xdr:rowOff>38770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1C4F968-8DF7-4F32-8F19-AE3AD9801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81951</xdr:colOff>
      <xdr:row>5</xdr:row>
      <xdr:rowOff>170731</xdr:rowOff>
    </xdr:from>
    <xdr:to>
      <xdr:col>16</xdr:col>
      <xdr:colOff>493862</xdr:colOff>
      <xdr:row>7</xdr:row>
      <xdr:rowOff>116816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B9685B2C-82DC-12EE-D30E-E39217882A90}"/>
            </a:ext>
          </a:extLst>
        </xdr:cNvPr>
        <xdr:cNvSpPr txBox="1"/>
      </xdr:nvSpPr>
      <xdr:spPr>
        <a:xfrm>
          <a:off x="8006751" y="1123231"/>
          <a:ext cx="2240711" cy="327085"/>
        </a:xfrm>
        <a:prstGeom prst="rect">
          <a:avLst/>
        </a:prstGeom>
        <a:noFill/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</a:rPr>
            <a:t>Você tem a maior renda em casa?</a:t>
          </a:r>
        </a:p>
      </xdr:txBody>
    </xdr:sp>
    <xdr:clientData/>
  </xdr:twoCellAnchor>
  <xdr:twoCellAnchor editAs="oneCell">
    <xdr:from>
      <xdr:col>12</xdr:col>
      <xdr:colOff>296532</xdr:colOff>
      <xdr:row>1</xdr:row>
      <xdr:rowOff>89858</xdr:rowOff>
    </xdr:from>
    <xdr:to>
      <xdr:col>13</xdr:col>
      <xdr:colOff>158743</xdr:colOff>
      <xdr:row>3</xdr:row>
      <xdr:rowOff>180453</xdr:rowOff>
    </xdr:to>
    <xdr:pic>
      <xdr:nvPicPr>
        <xdr:cNvPr id="12" name="Imagem 11" descr="Design PNG E SVG De Ícone Quadrado De Gênero Masculino Para Camisetas">
          <a:extLst>
            <a:ext uri="{FF2B5EF4-FFF2-40B4-BE49-F238E27FC236}">
              <a16:creationId xmlns:a16="http://schemas.microsoft.com/office/drawing/2014/main" id="{ACFF32C7-B3E4-A80E-7687-B46703E93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8985" y="278561"/>
          <a:ext cx="473249" cy="46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242616</xdr:colOff>
      <xdr:row>1</xdr:row>
      <xdr:rowOff>98844</xdr:rowOff>
    </xdr:from>
    <xdr:to>
      <xdr:col>15</xdr:col>
      <xdr:colOff>97688</xdr:colOff>
      <xdr:row>4</xdr:row>
      <xdr:rowOff>736</xdr:rowOff>
    </xdr:to>
    <xdr:pic>
      <xdr:nvPicPr>
        <xdr:cNvPr id="13" name="Imagem 12" descr="Design PNG E SVG De Ícone Quadrado De Gênero Feminino Para Camisetas">
          <a:extLst>
            <a:ext uri="{FF2B5EF4-FFF2-40B4-BE49-F238E27FC236}">
              <a16:creationId xmlns:a16="http://schemas.microsoft.com/office/drawing/2014/main" id="{A8EE2A2A-C50B-4E2C-A6BF-F7E6A7206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7144" y="287547"/>
          <a:ext cx="466110" cy="46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422338</xdr:colOff>
      <xdr:row>1</xdr:row>
      <xdr:rowOff>68744</xdr:rowOff>
    </xdr:from>
    <xdr:to>
      <xdr:col>11</xdr:col>
      <xdr:colOff>301978</xdr:colOff>
      <xdr:row>3</xdr:row>
      <xdr:rowOff>176575</xdr:rowOff>
    </xdr:to>
    <xdr:pic>
      <xdr:nvPicPr>
        <xdr:cNvPr id="19" name="Imagem 18" descr="Grupo - ícones de pessoas grátis">
          <a:extLst>
            <a:ext uri="{FF2B5EF4-FFF2-40B4-BE49-F238E27FC236}">
              <a16:creationId xmlns:a16="http://schemas.microsoft.com/office/drawing/2014/main" id="{C0E7A4C5-B659-7BCF-D718-772A0F0CB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213" y="259244"/>
          <a:ext cx="490828" cy="4888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395378</xdr:colOff>
      <xdr:row>1</xdr:row>
      <xdr:rowOff>125802</xdr:rowOff>
    </xdr:from>
    <xdr:to>
      <xdr:col>12</xdr:col>
      <xdr:colOff>323491</xdr:colOff>
      <xdr:row>3</xdr:row>
      <xdr:rowOff>89859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8629117B-DBE8-9A14-23E0-D539B7E9C5DF}"/>
            </a:ext>
          </a:extLst>
        </xdr:cNvPr>
        <xdr:cNvSpPr txBox="1"/>
      </xdr:nvSpPr>
      <xdr:spPr>
        <a:xfrm>
          <a:off x="7116793" y="314505"/>
          <a:ext cx="539151" cy="34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bg1"/>
              </a:solidFill>
            </a:rPr>
            <a:t>53</a:t>
          </a:r>
        </a:p>
      </xdr:txBody>
    </xdr:sp>
    <xdr:clientData/>
  </xdr:twoCellAnchor>
  <xdr:twoCellAnchor>
    <xdr:from>
      <xdr:col>13</xdr:col>
      <xdr:colOff>332118</xdr:colOff>
      <xdr:row>1</xdr:row>
      <xdr:rowOff>143415</xdr:rowOff>
    </xdr:from>
    <xdr:to>
      <xdr:col>14</xdr:col>
      <xdr:colOff>260232</xdr:colOff>
      <xdr:row>3</xdr:row>
      <xdr:rowOff>107472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204EF67-D5E1-0D5E-45A1-3B0F2D455AF4}"/>
            </a:ext>
          </a:extLst>
        </xdr:cNvPr>
        <xdr:cNvSpPr txBox="1"/>
      </xdr:nvSpPr>
      <xdr:spPr>
        <a:xfrm>
          <a:off x="8275609" y="332118"/>
          <a:ext cx="539151" cy="34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15</xdr:col>
      <xdr:colOff>214943</xdr:colOff>
      <xdr:row>1</xdr:row>
      <xdr:rowOff>178999</xdr:rowOff>
    </xdr:from>
    <xdr:to>
      <xdr:col>16</xdr:col>
      <xdr:colOff>143056</xdr:colOff>
      <xdr:row>3</xdr:row>
      <xdr:rowOff>143056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871C65B4-6D45-70C3-0E74-EA78830CCE4F}"/>
            </a:ext>
          </a:extLst>
        </xdr:cNvPr>
        <xdr:cNvSpPr txBox="1"/>
      </xdr:nvSpPr>
      <xdr:spPr>
        <a:xfrm>
          <a:off x="9380509" y="367702"/>
          <a:ext cx="539151" cy="34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bg1"/>
              </a:solidFill>
            </a:rPr>
            <a:t>27</a:t>
          </a:r>
        </a:p>
      </xdr:txBody>
    </xdr:sp>
    <xdr:clientData/>
  </xdr:twoCellAnchor>
  <xdr:twoCellAnchor>
    <xdr:from>
      <xdr:col>14</xdr:col>
      <xdr:colOff>424296</xdr:colOff>
      <xdr:row>12</xdr:row>
      <xdr:rowOff>103909</xdr:rowOff>
    </xdr:from>
    <xdr:to>
      <xdr:col>15</xdr:col>
      <xdr:colOff>415637</xdr:colOff>
      <xdr:row>14</xdr:row>
      <xdr:rowOff>147205</xdr:rowOff>
    </xdr:to>
    <xdr:sp macro="" textlink="TDPerfil!B16">
      <xdr:nvSpPr>
        <xdr:cNvPr id="9" name="CaixaDeTexto 8">
          <a:extLst>
            <a:ext uri="{FF2B5EF4-FFF2-40B4-BE49-F238E27FC236}">
              <a16:creationId xmlns:a16="http://schemas.microsoft.com/office/drawing/2014/main" id="{89D9130A-8E7E-8673-8E56-89032425C87B}"/>
            </a:ext>
          </a:extLst>
        </xdr:cNvPr>
        <xdr:cNvSpPr txBox="1"/>
      </xdr:nvSpPr>
      <xdr:spPr>
        <a:xfrm>
          <a:off x="8910205" y="2389909"/>
          <a:ext cx="597477" cy="424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D6CC42-1981-44E7-951E-819D26EE0E83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32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438150</xdr:colOff>
      <xdr:row>22</xdr:row>
      <xdr:rowOff>31173</xdr:rowOff>
    </xdr:from>
    <xdr:to>
      <xdr:col>15</xdr:col>
      <xdr:colOff>429491</xdr:colOff>
      <xdr:row>24</xdr:row>
      <xdr:rowOff>74469</xdr:rowOff>
    </xdr:to>
    <xdr:sp macro="" textlink="TDPerfil!B17">
      <xdr:nvSpPr>
        <xdr:cNvPr id="14" name="CaixaDeTexto 13">
          <a:extLst>
            <a:ext uri="{FF2B5EF4-FFF2-40B4-BE49-F238E27FC236}">
              <a16:creationId xmlns:a16="http://schemas.microsoft.com/office/drawing/2014/main" id="{E3A81D47-9F87-C2DE-8C71-832068E3AB7A}"/>
            </a:ext>
          </a:extLst>
        </xdr:cNvPr>
        <xdr:cNvSpPr txBox="1"/>
      </xdr:nvSpPr>
      <xdr:spPr>
        <a:xfrm>
          <a:off x="8924059" y="4222173"/>
          <a:ext cx="597477" cy="424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E54A340-7B10-4755-A422-441AAF649E86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21</a:t>
          </a:fld>
          <a:endParaRPr lang="pt-BR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0</xdr:row>
      <xdr:rowOff>171450</xdr:rowOff>
    </xdr:from>
    <xdr:to>
      <xdr:col>2</xdr:col>
      <xdr:colOff>228600</xdr:colOff>
      <xdr:row>27</xdr:row>
      <xdr:rowOff>57150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BCB1BF7-89D3-6BAB-C6AA-975D8A058825}"/>
            </a:ext>
          </a:extLst>
        </xdr:cNvPr>
        <xdr:cNvGrpSpPr/>
      </xdr:nvGrpSpPr>
      <xdr:grpSpPr>
        <a:xfrm>
          <a:off x="114300" y="171450"/>
          <a:ext cx="1333500" cy="5029200"/>
          <a:chOff x="114300" y="171450"/>
          <a:chExt cx="1338943" cy="5029200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93C32E2B-2EE7-AB55-D5E0-8B6778C85A42}"/>
              </a:ext>
            </a:extLst>
          </xdr:cNvPr>
          <xdr:cNvSpPr/>
        </xdr:nvSpPr>
        <xdr:spPr>
          <a:xfrm>
            <a:off x="114300" y="171450"/>
            <a:ext cx="1338943" cy="5029200"/>
          </a:xfrm>
          <a:prstGeom prst="roundRect">
            <a:avLst>
              <a:gd name="adj" fmla="val 0"/>
            </a:avLst>
          </a:prstGeom>
          <a:solidFill>
            <a:schemeClr val="bg2">
              <a:lumMod val="25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F884F2DD-4613-DCC8-90BA-68D115D2A9B3}"/>
              </a:ext>
            </a:extLst>
          </xdr:cNvPr>
          <xdr:cNvSpPr/>
        </xdr:nvSpPr>
        <xdr:spPr>
          <a:xfrm rot="16200000">
            <a:off x="-1031817" y="3063277"/>
            <a:ext cx="3323571" cy="66411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l"/>
            <a:r>
              <a:rPr lang="pt-BR" sz="2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PLANEJAMENTO</a:t>
            </a:r>
          </a:p>
          <a:p>
            <a:pPr algn="l"/>
            <a:r>
              <a:rPr lang="pt-BR" sz="2800" b="1" cap="none" spc="50" baseline="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 FINANCEIRO</a:t>
            </a:r>
            <a:endParaRPr lang="pt-BR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23" name="CaixaDeTexto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F3F25F-1CB1-052C-477D-89565DF5C885}"/>
              </a:ext>
            </a:extLst>
          </xdr:cNvPr>
          <xdr:cNvSpPr txBox="1"/>
        </xdr:nvSpPr>
        <xdr:spPr>
          <a:xfrm>
            <a:off x="210801" y="89943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CONSUMO</a:t>
            </a:r>
            <a:endParaRPr lang="pt-BR" sz="1200" b="1"/>
          </a:p>
        </xdr:txBody>
      </xdr:sp>
      <xdr:sp macro="" textlink="">
        <xdr:nvSpPr>
          <xdr:cNvPr id="24" name="CaixaDeTexto 2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2A0B76A5-B446-7DDB-1429-D2D17238AFD1}"/>
              </a:ext>
            </a:extLst>
          </xdr:cNvPr>
          <xdr:cNvSpPr txBox="1"/>
        </xdr:nvSpPr>
        <xdr:spPr>
          <a:xfrm>
            <a:off x="210798" y="14137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INVESTIMENTO</a:t>
            </a:r>
          </a:p>
        </xdr:txBody>
      </xdr:sp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D09D1E-1171-2B9A-DE11-CFC55763ACCC}"/>
              </a:ext>
            </a:extLst>
          </xdr:cNvPr>
          <xdr:cNvSpPr txBox="1"/>
        </xdr:nvSpPr>
        <xdr:spPr>
          <a:xfrm>
            <a:off x="202989" y="19090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PLANEJAMENTO</a:t>
            </a:r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AD0BC427-7E24-1AB8-8C4E-AAB050760AAB}"/>
              </a:ext>
            </a:extLst>
          </xdr:cNvPr>
          <xdr:cNvSpPr/>
        </xdr:nvSpPr>
        <xdr:spPr>
          <a:xfrm>
            <a:off x="368738" y="391837"/>
            <a:ext cx="827341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MENU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365125</xdr:colOff>
      <xdr:row>0</xdr:row>
      <xdr:rowOff>161925</xdr:rowOff>
    </xdr:from>
    <xdr:to>
      <xdr:col>17</xdr:col>
      <xdr:colOff>484186</xdr:colOff>
      <xdr:row>5</xdr:row>
      <xdr:rowOff>8986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69614C-6460-4C3D-A3D3-EC90682C6B58}"/>
            </a:ext>
          </a:extLst>
        </xdr:cNvPr>
        <xdr:cNvSpPr/>
      </xdr:nvSpPr>
      <xdr:spPr>
        <a:xfrm>
          <a:off x="1592792" y="161925"/>
          <a:ext cx="9326561" cy="799561"/>
        </a:xfrm>
        <a:prstGeom prst="roundRect">
          <a:avLst>
            <a:gd name="adj" fmla="val 0"/>
          </a:avLst>
        </a:prstGeom>
        <a:solidFill>
          <a:schemeClr val="bg2">
            <a:lumMod val="2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66675</xdr:colOff>
      <xdr:row>1</xdr:row>
      <xdr:rowOff>161925</xdr:rowOff>
    </xdr:from>
    <xdr:to>
      <xdr:col>9</xdr:col>
      <xdr:colOff>495300</xdr:colOff>
      <xdr:row>5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1DE415A-DCD9-4895-9CF1-E459E6B89D12}"/>
            </a:ext>
          </a:extLst>
        </xdr:cNvPr>
        <xdr:cNvSpPr txBox="1"/>
      </xdr:nvSpPr>
      <xdr:spPr>
        <a:xfrm>
          <a:off x="1895475" y="352425"/>
          <a:ext cx="408622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PERFIL DE</a:t>
          </a:r>
          <a:r>
            <a:rPr lang="pt-BR" sz="2400" b="1" baseline="0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 CONSUMO</a:t>
          </a:r>
          <a:endParaRPr lang="pt-BR" sz="2400" b="1">
            <a:solidFill>
              <a:schemeClr val="bg1"/>
            </a:solidFill>
            <a:latin typeface="Franklin Gothic Book" panose="020B05030201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378706</xdr:colOff>
      <xdr:row>5</xdr:row>
      <xdr:rowOff>146050</xdr:rowOff>
    </xdr:from>
    <xdr:to>
      <xdr:col>10</xdr:col>
      <xdr:colOff>460375</xdr:colOff>
      <xdr:row>16</xdr:row>
      <xdr:rowOff>39688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98D2C696-1D5C-489A-9467-BA08FAB67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390181</xdr:colOff>
      <xdr:row>16</xdr:row>
      <xdr:rowOff>103187</xdr:rowOff>
    </xdr:from>
    <xdr:to>
      <xdr:col>10</xdr:col>
      <xdr:colOff>476250</xdr:colOff>
      <xdr:row>27</xdr:row>
      <xdr:rowOff>80331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DDC7CDFD-1D6B-459A-845F-1F43C2A78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555626</xdr:colOff>
      <xdr:row>5</xdr:row>
      <xdr:rowOff>158750</xdr:rowOff>
    </xdr:from>
    <xdr:to>
      <xdr:col>14</xdr:col>
      <xdr:colOff>420688</xdr:colOff>
      <xdr:row>16</xdr:row>
      <xdr:rowOff>47626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8D0D994-013D-49B0-97AC-9885DAB4A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484188</xdr:colOff>
      <xdr:row>5</xdr:row>
      <xdr:rowOff>158749</xdr:rowOff>
    </xdr:from>
    <xdr:to>
      <xdr:col>17</xdr:col>
      <xdr:colOff>468312</xdr:colOff>
      <xdr:row>16</xdr:row>
      <xdr:rowOff>55563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987E0620-CB44-4A39-9823-DCCD664F2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555625</xdr:colOff>
      <xdr:row>16</xdr:row>
      <xdr:rowOff>103187</xdr:rowOff>
    </xdr:from>
    <xdr:to>
      <xdr:col>14</xdr:col>
      <xdr:colOff>420688</xdr:colOff>
      <xdr:row>27</xdr:row>
      <xdr:rowOff>80331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8D13017-27F5-49B1-BB29-8A60C7E9A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484188</xdr:colOff>
      <xdr:row>16</xdr:row>
      <xdr:rowOff>111125</xdr:rowOff>
    </xdr:from>
    <xdr:to>
      <xdr:col>17</xdr:col>
      <xdr:colOff>484187</xdr:colOff>
      <xdr:row>27</xdr:row>
      <xdr:rowOff>89297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49567207-275D-48C6-8463-DDFDE0497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309563</xdr:colOff>
      <xdr:row>11</xdr:row>
      <xdr:rowOff>23813</xdr:rowOff>
    </xdr:from>
    <xdr:to>
      <xdr:col>13</xdr:col>
      <xdr:colOff>79375</xdr:colOff>
      <xdr:row>13</xdr:row>
      <xdr:rowOff>7938</xdr:rowOff>
    </xdr:to>
    <xdr:sp macro="" textlink="TDConsumo!B16">
      <xdr:nvSpPr>
        <xdr:cNvPr id="23" name="CaixaDeTexto 22">
          <a:extLst>
            <a:ext uri="{FF2B5EF4-FFF2-40B4-BE49-F238E27FC236}">
              <a16:creationId xmlns:a16="http://schemas.microsoft.com/office/drawing/2014/main" id="{8A285E14-C865-A8EB-BCEE-2E3FE78A6B23}"/>
            </a:ext>
          </a:extLst>
        </xdr:cNvPr>
        <xdr:cNvSpPr txBox="1"/>
      </xdr:nvSpPr>
      <xdr:spPr>
        <a:xfrm>
          <a:off x="7643813" y="2119313"/>
          <a:ext cx="381000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CF34298-3890-4296-A178-0DE498717B33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588963</xdr:colOff>
      <xdr:row>11</xdr:row>
      <xdr:rowOff>88901</xdr:rowOff>
    </xdr:from>
    <xdr:to>
      <xdr:col>16</xdr:col>
      <xdr:colOff>358776</xdr:colOff>
      <xdr:row>13</xdr:row>
      <xdr:rowOff>73026</xdr:rowOff>
    </xdr:to>
    <xdr:sp macro="" textlink="TDConsumo!B17">
      <xdr:nvSpPr>
        <xdr:cNvPr id="24" name="CaixaDeTexto 23">
          <a:extLst>
            <a:ext uri="{FF2B5EF4-FFF2-40B4-BE49-F238E27FC236}">
              <a16:creationId xmlns:a16="http://schemas.microsoft.com/office/drawing/2014/main" id="{ECE13379-2807-83A2-B610-4FAC3D965C10}"/>
            </a:ext>
          </a:extLst>
        </xdr:cNvPr>
        <xdr:cNvSpPr txBox="1"/>
      </xdr:nvSpPr>
      <xdr:spPr>
        <a:xfrm>
          <a:off x="9756776" y="2184401"/>
          <a:ext cx="381000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07AAA03-13D7-4265-B92A-A2FBD3BA684C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6</a:t>
          </a:fld>
          <a:endParaRPr lang="pt-BR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312738</xdr:colOff>
      <xdr:row>21</xdr:row>
      <xdr:rowOff>90489</xdr:rowOff>
    </xdr:from>
    <xdr:to>
      <xdr:col>13</xdr:col>
      <xdr:colOff>82550</xdr:colOff>
      <xdr:row>23</xdr:row>
      <xdr:rowOff>74614</xdr:rowOff>
    </xdr:to>
    <xdr:sp macro="" textlink="TDConsumo!B18">
      <xdr:nvSpPr>
        <xdr:cNvPr id="25" name="CaixaDeTexto 24">
          <a:extLst>
            <a:ext uri="{FF2B5EF4-FFF2-40B4-BE49-F238E27FC236}">
              <a16:creationId xmlns:a16="http://schemas.microsoft.com/office/drawing/2014/main" id="{261D2601-5558-1A0C-C798-041123C6B378}"/>
            </a:ext>
          </a:extLst>
        </xdr:cNvPr>
        <xdr:cNvSpPr txBox="1"/>
      </xdr:nvSpPr>
      <xdr:spPr>
        <a:xfrm>
          <a:off x="7646988" y="4090989"/>
          <a:ext cx="381000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525C9E-1100-4304-BFB7-2EFCEB26338B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15</a:t>
          </a:fld>
          <a:endParaRPr lang="pt-BR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28575</xdr:colOff>
      <xdr:row>22</xdr:row>
      <xdr:rowOff>4764</xdr:rowOff>
    </xdr:from>
    <xdr:to>
      <xdr:col>16</xdr:col>
      <xdr:colOff>409575</xdr:colOff>
      <xdr:row>23</xdr:row>
      <xdr:rowOff>179389</xdr:rowOff>
    </xdr:to>
    <xdr:sp macro="" textlink="TDConsumo!B19">
      <xdr:nvSpPr>
        <xdr:cNvPr id="27" name="CaixaDeTexto 26">
          <a:extLst>
            <a:ext uri="{FF2B5EF4-FFF2-40B4-BE49-F238E27FC236}">
              <a16:creationId xmlns:a16="http://schemas.microsoft.com/office/drawing/2014/main" id="{1ED04E7B-328B-C9C6-647A-0D6E9E167F80}"/>
            </a:ext>
          </a:extLst>
        </xdr:cNvPr>
        <xdr:cNvSpPr txBox="1"/>
      </xdr:nvSpPr>
      <xdr:spPr>
        <a:xfrm>
          <a:off x="9807575" y="4195764"/>
          <a:ext cx="381000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0960D93-2E2E-48C0-94BD-361B54054565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</a:t>
          </a:fld>
          <a:endParaRPr lang="pt-BR" sz="5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111125</xdr:colOff>
      <xdr:row>0</xdr:row>
      <xdr:rowOff>182563</xdr:rowOff>
    </xdr:from>
    <xdr:to>
      <xdr:col>17</xdr:col>
      <xdr:colOff>355601</xdr:colOff>
      <xdr:row>4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s gastos são levados, muitas vezes, pelo lado emocional Qual destes comportamentos influenciam nas suas compras?">
              <a:extLst>
                <a:ext uri="{FF2B5EF4-FFF2-40B4-BE49-F238E27FC236}">
                  <a16:creationId xmlns:a16="http://schemas.microsoft.com/office/drawing/2014/main" id="{126C1B2B-CD4D-4020-80D4-8A6340BA60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s gastos são levados, muitas vezes, pelo lado emocional Qual destes comportamentos influenciam nas suas compras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87925" y="182563"/>
              <a:ext cx="5730876" cy="722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127000</xdr:colOff>
      <xdr:row>0</xdr:row>
      <xdr:rowOff>189352</xdr:rowOff>
    </xdr:from>
    <xdr:to>
      <xdr:col>2</xdr:col>
      <xdr:colOff>238276</xdr:colOff>
      <xdr:row>27</xdr:row>
      <xdr:rowOff>76200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2736D3D-7B9B-4FE6-9739-805E6B852425}"/>
            </a:ext>
          </a:extLst>
        </xdr:cNvPr>
        <xdr:cNvGrpSpPr/>
      </xdr:nvGrpSpPr>
      <xdr:grpSpPr>
        <a:xfrm>
          <a:off x="127000" y="189352"/>
          <a:ext cx="1330476" cy="5030348"/>
          <a:chOff x="114300" y="171450"/>
          <a:chExt cx="1338943" cy="5029200"/>
        </a:xfrm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D2846E29-FFBB-13AB-ABCC-6F70B78CA1FE}"/>
              </a:ext>
            </a:extLst>
          </xdr:cNvPr>
          <xdr:cNvSpPr/>
        </xdr:nvSpPr>
        <xdr:spPr>
          <a:xfrm>
            <a:off x="114300" y="171450"/>
            <a:ext cx="1338943" cy="5029200"/>
          </a:xfrm>
          <a:prstGeom prst="roundRect">
            <a:avLst>
              <a:gd name="adj" fmla="val 0"/>
            </a:avLst>
          </a:prstGeom>
          <a:solidFill>
            <a:schemeClr val="bg2">
              <a:lumMod val="25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290754-7C88-57C3-4352-8642649F6AE8}"/>
              </a:ext>
            </a:extLst>
          </xdr:cNvPr>
          <xdr:cNvSpPr/>
        </xdr:nvSpPr>
        <xdr:spPr>
          <a:xfrm rot="16200000">
            <a:off x="-1031817" y="3063277"/>
            <a:ext cx="3323571" cy="66411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l"/>
            <a:r>
              <a:rPr lang="pt-BR" sz="2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PLANEJAMENTO</a:t>
            </a:r>
          </a:p>
          <a:p>
            <a:pPr algn="l"/>
            <a:r>
              <a:rPr lang="pt-BR" sz="2800" b="1" cap="none" spc="50" baseline="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 FINANCEIRO</a:t>
            </a:r>
            <a:endParaRPr lang="pt-BR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12" name="CaixaDeTexto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D75D934-2F9E-E295-80CE-402585AB120E}"/>
              </a:ext>
            </a:extLst>
          </xdr:cNvPr>
          <xdr:cNvSpPr txBox="1"/>
        </xdr:nvSpPr>
        <xdr:spPr>
          <a:xfrm>
            <a:off x="210801" y="89943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PERFIL</a:t>
            </a:r>
            <a:endParaRPr lang="pt-BR" sz="1200" b="1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F69A4DD-F2C4-9395-BBA5-9602C73E6D67}"/>
              </a:ext>
            </a:extLst>
          </xdr:cNvPr>
          <xdr:cNvSpPr txBox="1"/>
        </xdr:nvSpPr>
        <xdr:spPr>
          <a:xfrm>
            <a:off x="210798" y="14137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INVESTIMENTO</a:t>
            </a:r>
          </a:p>
        </xdr:txBody>
      </xdr:sp>
      <xdr:sp macro="" textlink="">
        <xdr:nvSpPr>
          <xdr:cNvPr id="14" name="CaixaDeTexto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B0999F2-FF6F-C850-34FB-39D6BD82AA02}"/>
              </a:ext>
            </a:extLst>
          </xdr:cNvPr>
          <xdr:cNvSpPr txBox="1"/>
        </xdr:nvSpPr>
        <xdr:spPr>
          <a:xfrm>
            <a:off x="202989" y="19090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PLANEJAMENTO</a:t>
            </a:r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D4C52BF2-1C50-4A9C-FEFF-3DF64CF8AFCD}"/>
              </a:ext>
            </a:extLst>
          </xdr:cNvPr>
          <xdr:cNvSpPr/>
        </xdr:nvSpPr>
        <xdr:spPr>
          <a:xfrm>
            <a:off x="368738" y="391837"/>
            <a:ext cx="827341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MENU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407394</xdr:colOff>
      <xdr:row>0</xdr:row>
      <xdr:rowOff>161925</xdr:rowOff>
    </xdr:from>
    <xdr:to>
      <xdr:col>24</xdr:col>
      <xdr:colOff>370416</xdr:colOff>
      <xdr:row>5</xdr:row>
      <xdr:rowOff>8986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B08ABE-8C5C-4869-9516-8836C3CA6667}"/>
            </a:ext>
          </a:extLst>
        </xdr:cNvPr>
        <xdr:cNvSpPr/>
      </xdr:nvSpPr>
      <xdr:spPr>
        <a:xfrm>
          <a:off x="1623840" y="161925"/>
          <a:ext cx="13343925" cy="793823"/>
        </a:xfrm>
        <a:prstGeom prst="roundRect">
          <a:avLst>
            <a:gd name="adj" fmla="val 0"/>
          </a:avLst>
        </a:prstGeom>
        <a:solidFill>
          <a:schemeClr val="bg2">
            <a:lumMod val="2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66675</xdr:colOff>
      <xdr:row>1</xdr:row>
      <xdr:rowOff>161925</xdr:rowOff>
    </xdr:from>
    <xdr:to>
      <xdr:col>9</xdr:col>
      <xdr:colOff>495300</xdr:colOff>
      <xdr:row>5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30086450-8BA8-4D9E-9C86-A47ECF06504C}"/>
            </a:ext>
          </a:extLst>
        </xdr:cNvPr>
        <xdr:cNvSpPr txBox="1"/>
      </xdr:nvSpPr>
      <xdr:spPr>
        <a:xfrm>
          <a:off x="1895475" y="352425"/>
          <a:ext cx="408622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PERFIL DE</a:t>
          </a:r>
          <a:r>
            <a:rPr lang="pt-BR" sz="2400" b="1" baseline="0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 INVESTIMENTO</a:t>
          </a:r>
          <a:endParaRPr lang="pt-BR" sz="2400" b="1">
            <a:solidFill>
              <a:schemeClr val="bg1"/>
            </a:solidFill>
            <a:latin typeface="Franklin Gothic Book" panose="020B05030201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36512</xdr:colOff>
      <xdr:row>31</xdr:row>
      <xdr:rowOff>92077</xdr:rowOff>
    </xdr:from>
    <xdr:to>
      <xdr:col>9</xdr:col>
      <xdr:colOff>417512</xdr:colOff>
      <xdr:row>33</xdr:row>
      <xdr:rowOff>76202</xdr:rowOff>
    </xdr:to>
    <xdr:sp macro="" textlink="TDConsumo!B18">
      <xdr:nvSpPr>
        <xdr:cNvPr id="13" name="CaixaDeTexto 12">
          <a:extLst>
            <a:ext uri="{FF2B5EF4-FFF2-40B4-BE49-F238E27FC236}">
              <a16:creationId xmlns:a16="http://schemas.microsoft.com/office/drawing/2014/main" id="{D0E9653E-895A-4EF4-A56C-0F93628E5372}"/>
            </a:ext>
          </a:extLst>
        </xdr:cNvPr>
        <xdr:cNvSpPr txBox="1"/>
      </xdr:nvSpPr>
      <xdr:spPr>
        <a:xfrm>
          <a:off x="5522912" y="5997577"/>
          <a:ext cx="381000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525C9E-1100-4304-BFB7-2EFCEB26338B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15</a:t>
          </a:fld>
          <a:endParaRPr lang="pt-BR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412749</xdr:colOff>
      <xdr:row>5</xdr:row>
      <xdr:rowOff>137584</xdr:rowOff>
    </xdr:from>
    <xdr:to>
      <xdr:col>7</xdr:col>
      <xdr:colOff>518584</xdr:colOff>
      <xdr:row>14</xdr:row>
      <xdr:rowOff>116417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E19BE26-8A87-405E-AE6D-2D54D656F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41672</xdr:colOff>
      <xdr:row>5</xdr:row>
      <xdr:rowOff>130969</xdr:rowOff>
    </xdr:from>
    <xdr:to>
      <xdr:col>13</xdr:col>
      <xdr:colOff>595312</xdr:colOff>
      <xdr:row>14</xdr:row>
      <xdr:rowOff>130969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2002AE8F-70F2-4A7B-81B8-C59389FFDD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119673</xdr:colOff>
      <xdr:row>5</xdr:row>
      <xdr:rowOff>117231</xdr:rowOff>
    </xdr:from>
    <xdr:to>
      <xdr:col>19</xdr:col>
      <xdr:colOff>90365</xdr:colOff>
      <xdr:row>14</xdr:row>
      <xdr:rowOff>124559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546C1AE-1B59-4543-BA19-5F1250D0A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419100</xdr:colOff>
      <xdr:row>15</xdr:row>
      <xdr:rowOff>30693</xdr:rowOff>
    </xdr:from>
    <xdr:to>
      <xdr:col>7</xdr:col>
      <xdr:colOff>523875</xdr:colOff>
      <xdr:row>30</xdr:row>
      <xdr:rowOff>105833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1859169-591F-4D73-83ED-89093B8E35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43393</xdr:colOff>
      <xdr:row>15</xdr:row>
      <xdr:rowOff>42334</xdr:rowOff>
    </xdr:from>
    <xdr:to>
      <xdr:col>13</xdr:col>
      <xdr:colOff>592667</xdr:colOff>
      <xdr:row>30</xdr:row>
      <xdr:rowOff>95249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4996C255-0574-4E45-8F21-0FABC0014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130177</xdr:colOff>
      <xdr:row>15</xdr:row>
      <xdr:rowOff>51859</xdr:rowOff>
    </xdr:from>
    <xdr:to>
      <xdr:col>19</xdr:col>
      <xdr:colOff>116418</xdr:colOff>
      <xdr:row>30</xdr:row>
      <xdr:rowOff>63500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87853D31-6B1A-426A-8890-05A437364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254002</xdr:colOff>
      <xdr:row>5</xdr:row>
      <xdr:rowOff>116416</xdr:rowOff>
    </xdr:from>
    <xdr:to>
      <xdr:col>24</xdr:col>
      <xdr:colOff>349248</xdr:colOff>
      <xdr:row>13</xdr:row>
      <xdr:rowOff>95249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4CAECC3-0E79-4C67-95F0-C9100D8A7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254001</xdr:colOff>
      <xdr:row>13</xdr:row>
      <xdr:rowOff>148167</xdr:rowOff>
    </xdr:from>
    <xdr:to>
      <xdr:col>24</xdr:col>
      <xdr:colOff>359832</xdr:colOff>
      <xdr:row>21</xdr:row>
      <xdr:rowOff>31750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4DD24FB5-D171-4D3C-867A-BF2BD0556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275167</xdr:colOff>
      <xdr:row>21</xdr:row>
      <xdr:rowOff>137584</xdr:rowOff>
    </xdr:from>
    <xdr:to>
      <xdr:col>24</xdr:col>
      <xdr:colOff>381001</xdr:colOff>
      <xdr:row>30</xdr:row>
      <xdr:rowOff>52918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DA1D3C69-6B1E-40D8-B561-62FF126D5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17</xdr:col>
      <xdr:colOff>63500</xdr:colOff>
      <xdr:row>1</xdr:row>
      <xdr:rowOff>105833</xdr:rowOff>
    </xdr:from>
    <xdr:to>
      <xdr:col>23</xdr:col>
      <xdr:colOff>355147</xdr:colOff>
      <xdr:row>4</xdr:row>
      <xdr:rowOff>7861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mo você avalia seus conhecimento sobre investimentos?&#10;">
              <a:extLst>
                <a:ext uri="{FF2B5EF4-FFF2-40B4-BE49-F238E27FC236}">
                  <a16:creationId xmlns:a16="http://schemas.microsoft.com/office/drawing/2014/main" id="{8F999C2A-A88B-4187-93A5-DEF6F70EB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o você avalia seus conhecimento sobre investimentos?&#10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98667" y="296333"/>
              <a:ext cx="3974647" cy="4735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100127</xdr:colOff>
      <xdr:row>0</xdr:row>
      <xdr:rowOff>184473</xdr:rowOff>
    </xdr:from>
    <xdr:to>
      <xdr:col>2</xdr:col>
      <xdr:colOff>223172</xdr:colOff>
      <xdr:row>30</xdr:row>
      <xdr:rowOff>105832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BCDC0D-4360-43BB-8308-4745DD796B1A}"/>
            </a:ext>
          </a:extLst>
        </xdr:cNvPr>
        <xdr:cNvGrpSpPr/>
      </xdr:nvGrpSpPr>
      <xdr:grpSpPr>
        <a:xfrm>
          <a:off x="100127" y="184473"/>
          <a:ext cx="1350712" cy="5636359"/>
          <a:chOff x="114300" y="171450"/>
          <a:chExt cx="1338943" cy="5029200"/>
        </a:xfrm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EDE3F5B3-B0DE-BEFE-5EFD-0B7B879E60F0}"/>
              </a:ext>
            </a:extLst>
          </xdr:cNvPr>
          <xdr:cNvSpPr/>
        </xdr:nvSpPr>
        <xdr:spPr>
          <a:xfrm>
            <a:off x="114300" y="171450"/>
            <a:ext cx="1338943" cy="5029200"/>
          </a:xfrm>
          <a:prstGeom prst="roundRect">
            <a:avLst>
              <a:gd name="adj" fmla="val 0"/>
            </a:avLst>
          </a:prstGeom>
          <a:solidFill>
            <a:schemeClr val="bg2">
              <a:lumMod val="25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18B384EF-F21A-FCB4-B98E-FA6F9C8064D5}"/>
              </a:ext>
            </a:extLst>
          </xdr:cNvPr>
          <xdr:cNvSpPr/>
        </xdr:nvSpPr>
        <xdr:spPr>
          <a:xfrm rot="16200000">
            <a:off x="-1031817" y="3063277"/>
            <a:ext cx="3323571" cy="66411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l"/>
            <a:r>
              <a:rPr lang="pt-BR" sz="2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PLANEJAMENTO</a:t>
            </a:r>
          </a:p>
          <a:p>
            <a:pPr algn="l"/>
            <a:r>
              <a:rPr lang="pt-BR" sz="2800" b="1" cap="none" spc="50" baseline="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 FINANCEIRO</a:t>
            </a:r>
            <a:endParaRPr lang="pt-BR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25" name="CaixaDeTexto 2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3F5E5A86-3DA6-6C20-7A6A-D9EDF139C5B0}"/>
              </a:ext>
            </a:extLst>
          </xdr:cNvPr>
          <xdr:cNvSpPr txBox="1"/>
        </xdr:nvSpPr>
        <xdr:spPr>
          <a:xfrm>
            <a:off x="210801" y="89943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PERFIL</a:t>
            </a:r>
            <a:endParaRPr lang="pt-BR" sz="1200" b="1"/>
          </a:p>
        </xdr:txBody>
      </xdr:sp>
      <xdr:sp macro="" textlink="">
        <xdr:nvSpPr>
          <xdr:cNvPr id="26" name="CaixaDeTexto 2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18CD354-E5DB-4E27-A7C9-18B5CC03A310}"/>
              </a:ext>
            </a:extLst>
          </xdr:cNvPr>
          <xdr:cNvSpPr txBox="1"/>
        </xdr:nvSpPr>
        <xdr:spPr>
          <a:xfrm>
            <a:off x="210798" y="14137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CONSUMO</a:t>
            </a:r>
          </a:p>
        </xdr:txBody>
      </xdr:sp>
      <xdr:sp macro="" textlink="">
        <xdr:nvSpPr>
          <xdr:cNvPr id="27" name="CaixaDeTexto 2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C4D39EBA-914A-92B8-3303-1D23D38F3480}"/>
              </a:ext>
            </a:extLst>
          </xdr:cNvPr>
          <xdr:cNvSpPr txBox="1"/>
        </xdr:nvSpPr>
        <xdr:spPr>
          <a:xfrm>
            <a:off x="202989" y="19090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PLANEJAMENTO</a:t>
            </a:r>
          </a:p>
        </xdr:txBody>
      </xdr:sp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78CFB19-5186-0C82-8332-09A4E275CD8F}"/>
              </a:ext>
            </a:extLst>
          </xdr:cNvPr>
          <xdr:cNvSpPr/>
        </xdr:nvSpPr>
        <xdr:spPr>
          <a:xfrm>
            <a:off x="368738" y="391837"/>
            <a:ext cx="827341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MENU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439138</xdr:colOff>
      <xdr:row>0</xdr:row>
      <xdr:rowOff>161925</xdr:rowOff>
    </xdr:from>
    <xdr:to>
      <xdr:col>26</xdr:col>
      <xdr:colOff>190500</xdr:colOff>
      <xdr:row>5</xdr:row>
      <xdr:rowOff>8986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721DB26-2412-42B3-9AAF-BC7635F9F7D2}"/>
            </a:ext>
          </a:extLst>
        </xdr:cNvPr>
        <xdr:cNvSpPr/>
      </xdr:nvSpPr>
      <xdr:spPr>
        <a:xfrm>
          <a:off x="1666805" y="161925"/>
          <a:ext cx="14483362" cy="799561"/>
        </a:xfrm>
        <a:prstGeom prst="roundRect">
          <a:avLst>
            <a:gd name="adj" fmla="val 0"/>
          </a:avLst>
        </a:prstGeom>
        <a:solidFill>
          <a:schemeClr val="bg2">
            <a:lumMod val="2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66675</xdr:colOff>
      <xdr:row>1</xdr:row>
      <xdr:rowOff>161925</xdr:rowOff>
    </xdr:from>
    <xdr:to>
      <xdr:col>9</xdr:col>
      <xdr:colOff>495300</xdr:colOff>
      <xdr:row>5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932047A-157A-4963-AEF2-124279C6A162}"/>
            </a:ext>
          </a:extLst>
        </xdr:cNvPr>
        <xdr:cNvSpPr txBox="1"/>
      </xdr:nvSpPr>
      <xdr:spPr>
        <a:xfrm>
          <a:off x="1895475" y="352425"/>
          <a:ext cx="408622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PERFIL DE</a:t>
          </a:r>
          <a:r>
            <a:rPr lang="pt-BR" sz="2400" b="1" baseline="0">
              <a:solidFill>
                <a:schemeClr val="bg1"/>
              </a:solidFill>
              <a:latin typeface="Franklin Gothic Book" panose="020B0503020102020204" pitchFamily="34" charset="0"/>
              <a:ea typeface="Tahoma" panose="020B0604030504040204" pitchFamily="34" charset="0"/>
              <a:cs typeface="Tahoma" panose="020B0604030504040204" pitchFamily="34" charset="0"/>
            </a:rPr>
            <a:t> PLANEJAMENTO</a:t>
          </a:r>
          <a:endParaRPr lang="pt-BR" sz="2400" b="1">
            <a:solidFill>
              <a:schemeClr val="bg1"/>
            </a:solidFill>
            <a:latin typeface="Franklin Gothic Book" panose="020B050302010202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423333</xdr:colOff>
      <xdr:row>5</xdr:row>
      <xdr:rowOff>169333</xdr:rowOff>
    </xdr:from>
    <xdr:to>
      <xdr:col>8</xdr:col>
      <xdr:colOff>95250</xdr:colOff>
      <xdr:row>16</xdr:row>
      <xdr:rowOff>86783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80FCA17-D490-460F-8984-C9E12EB19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227135</xdr:colOff>
      <xdr:row>5</xdr:row>
      <xdr:rowOff>168518</xdr:rowOff>
    </xdr:from>
    <xdr:to>
      <xdr:col>14</xdr:col>
      <xdr:colOff>190499</xdr:colOff>
      <xdr:row>16</xdr:row>
      <xdr:rowOff>85418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35A6ACC-BC61-4108-B48A-78D533FD7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351693</xdr:colOff>
      <xdr:row>5</xdr:row>
      <xdr:rowOff>153867</xdr:rowOff>
    </xdr:from>
    <xdr:to>
      <xdr:col>20</xdr:col>
      <xdr:colOff>183173</xdr:colOff>
      <xdr:row>16</xdr:row>
      <xdr:rowOff>70767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7F4E5EA-6254-44AC-85E4-D79D2BA7B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428626</xdr:colOff>
      <xdr:row>17</xdr:row>
      <xdr:rowOff>23812</xdr:rowOff>
    </xdr:from>
    <xdr:to>
      <xdr:col>8</xdr:col>
      <xdr:colOff>102301</xdr:colOff>
      <xdr:row>34</xdr:row>
      <xdr:rowOff>31749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D128B8B-0410-41B6-B263-E784DFFB7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230187</xdr:colOff>
      <xdr:row>17</xdr:row>
      <xdr:rowOff>23813</xdr:rowOff>
    </xdr:from>
    <xdr:to>
      <xdr:col>14</xdr:col>
      <xdr:colOff>190500</xdr:colOff>
      <xdr:row>34</xdr:row>
      <xdr:rowOff>42332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4E307D5-443D-4EA9-9872-AE25B3424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341312</xdr:colOff>
      <xdr:row>17</xdr:row>
      <xdr:rowOff>39688</xdr:rowOff>
    </xdr:from>
    <xdr:to>
      <xdr:col>20</xdr:col>
      <xdr:colOff>190499</xdr:colOff>
      <xdr:row>34</xdr:row>
      <xdr:rowOff>10583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C1619DD-7925-49AE-83AE-45D18F8BB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293688</xdr:colOff>
      <xdr:row>5</xdr:row>
      <xdr:rowOff>150812</xdr:rowOff>
    </xdr:from>
    <xdr:to>
      <xdr:col>26</xdr:col>
      <xdr:colOff>222250</xdr:colOff>
      <xdr:row>14</xdr:row>
      <xdr:rowOff>31750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C7315C7-44CB-4868-A8DD-0753BE7F5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126176</xdr:colOff>
      <xdr:row>0</xdr:row>
      <xdr:rowOff>190499</xdr:rowOff>
    </xdr:from>
    <xdr:to>
      <xdr:col>2</xdr:col>
      <xdr:colOff>259167</xdr:colOff>
      <xdr:row>33</xdr:row>
      <xdr:rowOff>169332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52C4E63-BAA7-4888-A9B1-AD66C3A5395F}"/>
            </a:ext>
          </a:extLst>
        </xdr:cNvPr>
        <xdr:cNvGrpSpPr/>
      </xdr:nvGrpSpPr>
      <xdr:grpSpPr>
        <a:xfrm>
          <a:off x="126176" y="190499"/>
          <a:ext cx="1347429" cy="6265333"/>
          <a:chOff x="114300" y="171450"/>
          <a:chExt cx="1338943" cy="5029200"/>
        </a:xfrm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C7011631-E251-3228-8D24-ABEF5A7878FE}"/>
              </a:ext>
            </a:extLst>
          </xdr:cNvPr>
          <xdr:cNvSpPr/>
        </xdr:nvSpPr>
        <xdr:spPr>
          <a:xfrm>
            <a:off x="114300" y="171450"/>
            <a:ext cx="1338943" cy="5029200"/>
          </a:xfrm>
          <a:prstGeom prst="roundRect">
            <a:avLst>
              <a:gd name="adj" fmla="val 0"/>
            </a:avLst>
          </a:prstGeom>
          <a:solidFill>
            <a:schemeClr val="bg2">
              <a:lumMod val="25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B453E46B-8BEE-35E6-93A3-3B620537B5A6}"/>
              </a:ext>
            </a:extLst>
          </xdr:cNvPr>
          <xdr:cNvSpPr/>
        </xdr:nvSpPr>
        <xdr:spPr>
          <a:xfrm rot="16200000">
            <a:off x="-1031817" y="3063277"/>
            <a:ext cx="3323571" cy="66411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l"/>
            <a:r>
              <a:rPr lang="pt-BR" sz="2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PLANEJAMENTO</a:t>
            </a:r>
          </a:p>
          <a:p>
            <a:pPr algn="l"/>
            <a:r>
              <a:rPr lang="pt-BR" sz="2800" b="1" cap="none" spc="50" baseline="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 FINANCEIRO</a:t>
            </a:r>
            <a:endParaRPr lang="pt-BR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7AD3B27-DCF9-F733-9ADE-D2205F30E4FC}"/>
              </a:ext>
            </a:extLst>
          </xdr:cNvPr>
          <xdr:cNvSpPr txBox="1"/>
        </xdr:nvSpPr>
        <xdr:spPr>
          <a:xfrm>
            <a:off x="210801" y="89943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PERFIL</a:t>
            </a:r>
            <a:endParaRPr lang="pt-BR" sz="1200" b="1"/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5CE075BB-DA65-C28B-6FAE-FC96E6DA3E3D}"/>
              </a:ext>
            </a:extLst>
          </xdr:cNvPr>
          <xdr:cNvSpPr txBox="1"/>
        </xdr:nvSpPr>
        <xdr:spPr>
          <a:xfrm>
            <a:off x="210798" y="14137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CONSUMO</a:t>
            </a:r>
          </a:p>
        </xdr:txBody>
      </xdr:sp>
      <xdr:sp macro="" textlink="">
        <xdr:nvSpPr>
          <xdr:cNvPr id="18" name="CaixaDeTexto 17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BC99C7C-7F07-3DE6-3897-C1A97AB0297F}"/>
              </a:ext>
            </a:extLst>
          </xdr:cNvPr>
          <xdr:cNvSpPr txBox="1"/>
        </xdr:nvSpPr>
        <xdr:spPr>
          <a:xfrm>
            <a:off x="202989" y="1909080"/>
            <a:ext cx="1116000" cy="371475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INVESTIMENTO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1537A601-CCF0-4B4C-D0F4-8DE1125C2CE4}"/>
              </a:ext>
            </a:extLst>
          </xdr:cNvPr>
          <xdr:cNvSpPr/>
        </xdr:nvSpPr>
        <xdr:spPr>
          <a:xfrm>
            <a:off x="368738" y="391837"/>
            <a:ext cx="827341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MENU</a:t>
            </a:r>
          </a:p>
        </xdr:txBody>
      </xdr:sp>
    </xdr:grpSp>
    <xdr:clientData/>
  </xdr:twoCellAnchor>
  <xdr:twoCellAnchor>
    <xdr:from>
      <xdr:col>20</xdr:col>
      <xdr:colOff>285750</xdr:colOff>
      <xdr:row>14</xdr:row>
      <xdr:rowOff>116417</xdr:rowOff>
    </xdr:from>
    <xdr:to>
      <xdr:col>26</xdr:col>
      <xdr:colOff>232833</xdr:colOff>
      <xdr:row>23</xdr:row>
      <xdr:rowOff>63501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2D0B90-3AD0-4DC4-8F5F-5C2F856BA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296333</xdr:colOff>
      <xdr:row>23</xdr:row>
      <xdr:rowOff>169333</xdr:rowOff>
    </xdr:from>
    <xdr:to>
      <xdr:col>26</xdr:col>
      <xdr:colOff>254000</xdr:colOff>
      <xdr:row>34</xdr:row>
      <xdr:rowOff>21167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C695B0D-FFFB-454D-B89A-A08CE3ACC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296334</xdr:colOff>
      <xdr:row>1</xdr:row>
      <xdr:rowOff>130175</xdr:rowOff>
    </xdr:from>
    <xdr:to>
      <xdr:col>23</xdr:col>
      <xdr:colOff>130105</xdr:colOff>
      <xdr:row>4</xdr:row>
      <xdr:rowOff>63499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Você tem alguma dívida em atraso?&#10;">
              <a:extLst>
                <a:ext uri="{FF2B5EF4-FFF2-40B4-BE49-F238E27FC236}">
                  <a16:creationId xmlns:a16="http://schemas.microsoft.com/office/drawing/2014/main" id="{872481A2-E453-49F3-A6FF-3C8FA32FAD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ocê tem alguma dívida em atraso?&#10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33490" y="320675"/>
              <a:ext cx="2262646" cy="504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 Neto" refreshedDate="45070.450431944446" createdVersion="8" refreshedVersion="8" minRefreshableVersion="3" recordCount="53" xr:uid="{0F088B07-9326-47E6-B498-6A97009004A7}">
  <cacheSource type="worksheet">
    <worksheetSource name="base"/>
  </cacheSource>
  <cacheFields count="35">
    <cacheField name="Qual seu gênero?_x000a_" numFmtId="0">
      <sharedItems count="2">
        <s v="Masculino"/>
        <s v="Feminino"/>
      </sharedItems>
    </cacheField>
    <cacheField name="Quantos anos você tem?" numFmtId="0">
      <sharedItems count="4">
        <s v="Entre 18 á 24 anos"/>
        <s v="Entre 31 á 36 anos"/>
        <s v="Acima de 40 anos"/>
        <s v="Entre 25 á 30 anos"/>
      </sharedItems>
    </cacheField>
    <cacheField name="Qual sua renda?_x000a_" numFmtId="0">
      <sharedItems count="4">
        <s v="menos de um salário mínimo"/>
        <s v="até três salários mínimos"/>
        <s v="mais de quatro salários"/>
        <s v="até dois salários mínimos"/>
      </sharedItems>
    </cacheField>
    <cacheField name="Qual a renda total da sua familia?_x000a_" numFmtId="0">
      <sharedItems/>
    </cacheField>
    <cacheField name="Quantas pessoas moram com você?" numFmtId="0">
      <sharedItems count="5">
        <s v="5 ou mais"/>
        <s v="4"/>
        <s v="2"/>
        <s v="1"/>
        <s v="3"/>
      </sharedItems>
    </cacheField>
    <cacheField name="Você é a pessoa com a maior renda da sua casa?_x000a_" numFmtId="0">
      <sharedItems count="2">
        <s v="não"/>
        <s v="sim"/>
      </sharedItems>
    </cacheField>
    <cacheField name="Como você faz seu controle financeiro?" numFmtId="0">
      <sharedItems count="3">
        <s v="Faço uma planilha, ou anoto todos os meus ganhos e gastos do mês"/>
        <s v="Anoto somente os grandes ganhos e despesas"/>
        <s v="Não, não anoto meus ganhos e nem meus gastos, por que não acho necessário"/>
      </sharedItems>
    </cacheField>
    <cacheField name="Quando você recebe seu salário e ganhos mensais, você controla os seus gastos?" numFmtId="0">
      <sharedItems count="3">
        <s v="Sim, consigo equilibrar meus gastos!"/>
        <s v="Consigo controlar um pouco do salário ou ganhos mas acabo gastando em coisas desnecessárias!"/>
        <s v="Não, tenho dificuldades de administrar meus gastos!"/>
      </sharedItems>
    </cacheField>
    <cacheField name="Quando você vai fazer compras(Shopping, supermercado, feira, etc), como você se comporta?" numFmtId="0">
      <sharedItems count="4">
        <s v="Faço uma lista de compras e não compro nada além disso"/>
        <s v="Faço uma lista de compras e pesquiso marcas mais em conta"/>
        <s v="Tenho uma idéia do que comprar mas não faço uma lista"/>
        <s v="Não tenho planejamento do que comprar Decido na hora"/>
      </sharedItems>
    </cacheField>
    <cacheField name="Como você costuma pagar suas compras?" numFmtId="0">
      <sharedItems count="4">
        <s v="Procuro o melhor preço a vista do produto ou parcelo sem juros Tudo dentro do meu orçamento"/>
        <s v="Pesquiso pela loja mais em conta e parcelo ao máximo"/>
        <s v="Não faço pesquisa do produto e compro na primeira loja que entrar"/>
        <s v="Guardo dinheiro durante o ano e espero uma boa promoção (Black friday, queima de estoque, etc) para comprar a vista"/>
      </sharedItems>
    </cacheField>
    <cacheField name="Você investe o dinheiro que sobra?_x000a_" numFmtId="0">
      <sharedItems count="4">
        <s v="Poupança"/>
        <s v="CDBs dos bancos"/>
        <s v="Títulos e ações"/>
        <s v="Não sobra dinheiro"/>
      </sharedItems>
    </cacheField>
    <cacheField name="Você consegue guardar dinheiro mensalmente?_x000a_" numFmtId="0">
      <sharedItems count="4">
        <s v="Sempre guardo um dinheiro"/>
        <s v="Sim, entretanto nem todo mês e possível"/>
        <s v="Não guardo dinheiro"/>
        <s v="Guardo dinheiro mas nunca gasto comigo"/>
      </sharedItems>
    </cacheField>
    <cacheField name="Os gastos são levados, muitas vezes, pelo lado emocional Qual destes comportamentos influenciam nas suas compras?" numFmtId="0">
      <sharedItems count="4">
        <s v="Sinto necessidade de controlar cada centavo!"/>
        <s v="Tenho muito disciplina nas finanças"/>
        <s v="Me sinto ansioso na hora dos gastos"/>
        <s v="Compro muitas coisas por impulso"/>
      </sharedItems>
    </cacheField>
    <cacheField name="Se a partir de hoje você ficasse desempregado(a), por quanto tempo você garantiria dinheiro para pagar as despesas?_x000a_" numFmtId="0">
      <sharedItems count="3">
        <s v="Poderia preservar o mesmo padrão até 1 - 3 meses"/>
        <s v="Manteria o meu padrão de vida por, no máximo, um ano"/>
        <s v="Não conseguiria me manter nem por alguns dias"/>
      </sharedItems>
    </cacheField>
    <cacheField name="Com relação a fatura do cartão de crédito, você geralmente:_x000a_" numFmtId="0">
      <sharedItems count="2">
        <s v="pago integralmente"/>
        <s v="parcelo o valor da fatura com juros "/>
      </sharedItems>
    </cacheField>
    <cacheField name="Quando é dia de promoção no supermercado, você:" numFmtId="0">
      <sharedItems count="3">
        <s v="Compro sempre na mesma data"/>
        <s v="Aproveita para fazer as compras do mês"/>
        <s v="Se empolga e compra até mesmo o que não precisa"/>
      </sharedItems>
    </cacheField>
    <cacheField name="Período de férias, para você, é sinônimo de:" numFmtId="0">
      <sharedItems count="4">
        <s v="Diversão com planejamento"/>
        <s v="Descanso, custe o dinheiro que custar"/>
        <s v="Um gasto atrás do outro"/>
        <s v="Orçamento no limite"/>
      </sharedItems>
    </cacheField>
    <cacheField name="Os seus amigos dizem que você:_x000a_" numFmtId="0">
      <sharedItems count="3">
        <s v="Que você é pão duro"/>
        <s v="É consciente quanto seus gastos"/>
        <s v="Gasta de forma exagerada"/>
      </sharedItems>
    </cacheField>
    <cacheField name="Como você avalia seus conhecimento sobre investimentos?_x000a_" numFmtId="0">
      <sharedItems count="3">
        <s v="Iniciante/Básico"/>
        <s v="Intermediário"/>
        <s v="Avançado"/>
      </sharedItems>
    </cacheField>
    <cacheField name="Você possui algum objetivo relacionado á investimentos?" numFmtId="0">
      <sharedItems count="3">
        <s v="Não"/>
        <s v="Sim"/>
        <s v="Penso sobre"/>
      </sharedItems>
    </cacheField>
    <cacheField name="Você arriscaria seu dinheiro em Investimentos?" numFmtId="0">
      <sharedItems count="3">
        <s v="Sim, risco baixo"/>
        <s v="Sim, risco alto"/>
        <s v="Não arriscaria"/>
      </sharedItems>
    </cacheField>
    <cacheField name="Por quanto tempo você deseja manter o seu investimento?" numFmtId="0">
      <sharedItems count="3">
        <s v=" + 10 anos"/>
        <s v="De 3 à 10 anos"/>
        <s v="Até 3 anos"/>
      </sharedItems>
    </cacheField>
    <cacheField name="Qual frase melhor te define na hora de escolher um investimento?" numFmtId="0">
      <sharedItems count="3">
        <s v="Invisto com segurança a longo prazo"/>
        <s v="Pesquiso e busco informações"/>
        <s v="Gosto de arriscar financeiramente"/>
      </sharedItems>
    </cacheField>
    <cacheField name="O que você prioriza na hora de investir?" numFmtId="0">
      <sharedItems count="2">
        <s v="Segurança"/>
        <s v="Rentabilidade"/>
      </sharedItems>
    </cacheField>
    <cacheField name="Como você define seu nível de experiência de mercado?" numFmtId="0">
      <sharedItems count="3">
        <s v="Estou começando"/>
        <s v="Possua alguma"/>
        <s v="Nenhuma"/>
      </sharedItems>
    </cacheField>
    <cacheField name="Seu foco é em investimentos a:" numFmtId="0">
      <sharedItems count="3">
        <s v="Médio prazo"/>
        <s v="Longo prazo"/>
        <s v="Curto prazo"/>
      </sharedItems>
    </cacheField>
    <cacheField name="Caso você queira investir em renda variável, cujo retorno é imprevisível no momento do investimento, quanto da sua renda estaria destinada para isso?" numFmtId="0">
      <sharedItems count="2">
        <s v="mais de 10%"/>
        <s v="menos de 10%"/>
      </sharedItems>
    </cacheField>
    <cacheField name="No fim do mês, seu dinheiro:_x000a_" numFmtId="0">
      <sharedItems count="4">
        <s v="pago as contas e sobra um pouco"/>
        <s v="Nem sempre sobra"/>
        <s v="sempre falta dinheiro"/>
        <s v="não sobra, mas consigo pagar todas as contas"/>
      </sharedItems>
    </cacheField>
    <cacheField name="Você tem alguma dívida em atraso?_x000a_" numFmtId="0">
      <sharedItems count="2">
        <s v="Não tenho"/>
        <s v="Tenho"/>
      </sharedItems>
    </cacheField>
    <cacheField name="Você paga suas contas em dia?_x000a_" numFmtId="0">
      <sharedItems count="3">
        <s v="Pago sempre em dia ou antecipado"/>
        <s v="Atraso de vez enquando"/>
        <s v="Atraso todo mês"/>
      </sharedItems>
    </cacheField>
    <cacheField name="Quando pretende comprar algo novo, você:_x000a_" numFmtId="0">
      <sharedItems/>
    </cacheField>
    <cacheField name="O que você faria se suas ações caíssem 20%?" numFmtId="0">
      <sharedItems/>
    </cacheField>
    <cacheField name="Você já possui uma reserva de emergência?_x000a_" numFmtId="0">
      <sharedItems/>
    </cacheField>
    <cacheField name="Seu smartphone está em ótimo estado, mas uma versão mais moderna já foi lançada O que faz?" numFmtId="0">
      <sharedItems/>
    </cacheField>
    <cacheField name="Você sabe bem quais são as suas despesas mensais?_x000a_" numFmtId="0">
      <sharedItems/>
    </cacheField>
  </cacheFields>
  <extLst>
    <ext xmlns:x14="http://schemas.microsoft.com/office/spreadsheetml/2009/9/main" uri="{725AE2AE-9491-48be-B2B4-4EB974FC3084}">
      <x14:pivotCacheDefinition pivotCacheId="7162567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s v="De $5000 ou Mais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Poupa dinheiro até ter o valor necessário"/>
    <s v="Venderia uma parte das ações"/>
    <s v="Claro! guardo com frequência"/>
    <s v="Você decide continuar utilizando o seu"/>
    <s v="Sim Uso planilha/aplicativo e sei exatamente para onde o meu dinheiro vai"/>
  </r>
  <r>
    <x v="0"/>
    <x v="0"/>
    <x v="0"/>
    <s v="De $5000 ou Mais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0"/>
    <x v="1"/>
    <x v="0"/>
    <x v="0"/>
    <x v="0"/>
    <x v="0"/>
    <x v="0"/>
    <s v="Poupa dinheiro até ter o valor necessário"/>
    <s v="Venderia uma parte das ações"/>
    <s v="Claro! guardo com frequência"/>
    <s v="Você decide continuar utilizando o seu"/>
    <s v="Sim Uso planilha/aplicativo e sei exatamente para onde o meu dinheiro vai"/>
  </r>
  <r>
    <x v="0"/>
    <x v="1"/>
    <x v="1"/>
    <s v="De $5000 ou Mais"/>
    <x v="1"/>
    <x v="1"/>
    <x v="0"/>
    <x v="0"/>
    <x v="1"/>
    <x v="0"/>
    <x v="1"/>
    <x v="0"/>
    <x v="1"/>
    <x v="0"/>
    <x v="0"/>
    <x v="0"/>
    <x v="0"/>
    <x v="1"/>
    <x v="1"/>
    <x v="1"/>
    <x v="1"/>
    <x v="0"/>
    <x v="1"/>
    <x v="1"/>
    <x v="0"/>
    <x v="1"/>
    <x v="1"/>
    <x v="0"/>
    <x v="0"/>
    <x v="0"/>
    <s v="Assume parcelas dentro de seu orçamento "/>
    <s v="Venderia uma parte das ações"/>
    <s v="Claro! guardo com frequência"/>
    <s v="Você decide continuar utilizando o seu"/>
    <s v="Sim Uso planilha/aplicativo e sei exatamente para onde o meu dinheiro vai"/>
  </r>
  <r>
    <x v="0"/>
    <x v="1"/>
    <x v="2"/>
    <s v="De $5000 ou Mais"/>
    <x v="1"/>
    <x v="1"/>
    <x v="0"/>
    <x v="0"/>
    <x v="0"/>
    <x v="0"/>
    <x v="2"/>
    <x v="1"/>
    <x v="1"/>
    <x v="0"/>
    <x v="0"/>
    <x v="0"/>
    <x v="0"/>
    <x v="0"/>
    <x v="1"/>
    <x v="1"/>
    <x v="0"/>
    <x v="0"/>
    <x v="2"/>
    <x v="1"/>
    <x v="1"/>
    <x v="1"/>
    <x v="0"/>
    <x v="0"/>
    <x v="0"/>
    <x v="0"/>
    <s v="Assume parcelas dentro de seu orçamento "/>
    <s v="Compraria mais"/>
    <s v="Claro! guardo com frequência"/>
    <s v="Você decide continuar utilizando o seu"/>
    <s v="Sim Uso planilha/aplicativo e sei exatamente para onde o meu dinheiro vai"/>
  </r>
  <r>
    <x v="1"/>
    <x v="1"/>
    <x v="1"/>
    <s v="De $5000 ou Mais"/>
    <x v="2"/>
    <x v="1"/>
    <x v="0"/>
    <x v="0"/>
    <x v="0"/>
    <x v="0"/>
    <x v="0"/>
    <x v="1"/>
    <x v="1"/>
    <x v="0"/>
    <x v="0"/>
    <x v="1"/>
    <x v="1"/>
    <x v="1"/>
    <x v="0"/>
    <x v="1"/>
    <x v="0"/>
    <x v="1"/>
    <x v="0"/>
    <x v="0"/>
    <x v="0"/>
    <x v="0"/>
    <x v="1"/>
    <x v="0"/>
    <x v="0"/>
    <x v="0"/>
    <s v="Assume parcelas dentro de seu orçamento "/>
    <s v="Venderia uma parte das ações"/>
    <s v="Estou começando agora"/>
    <s v="Você decide continuar utilizando o seu"/>
    <s v="Sim Uso planilha/aplicativo e sei exatamente para onde o meu dinheiro vai"/>
  </r>
  <r>
    <x v="1"/>
    <x v="2"/>
    <x v="2"/>
    <s v="De $5000 ou Mais"/>
    <x v="0"/>
    <x v="0"/>
    <x v="1"/>
    <x v="0"/>
    <x v="1"/>
    <x v="0"/>
    <x v="0"/>
    <x v="0"/>
    <x v="2"/>
    <x v="0"/>
    <x v="0"/>
    <x v="0"/>
    <x v="0"/>
    <x v="1"/>
    <x v="0"/>
    <x v="0"/>
    <x v="0"/>
    <x v="2"/>
    <x v="1"/>
    <x v="1"/>
    <x v="2"/>
    <x v="2"/>
    <x v="1"/>
    <x v="0"/>
    <x v="1"/>
    <x v="1"/>
    <s v="Assume parcelas dentro de seu orçamento "/>
    <s v="Compraria mais"/>
    <s v="Estou começando agora"/>
    <s v="Você decide continuar utilizando o seu"/>
    <s v="Acompanho o saldo no banco e estou sempre de olho nos gastos com o cartão"/>
  </r>
  <r>
    <x v="0"/>
    <x v="0"/>
    <x v="3"/>
    <s v="De $1200 ate $2400"/>
    <x v="2"/>
    <x v="0"/>
    <x v="2"/>
    <x v="0"/>
    <x v="2"/>
    <x v="0"/>
    <x v="3"/>
    <x v="1"/>
    <x v="2"/>
    <x v="1"/>
    <x v="0"/>
    <x v="1"/>
    <x v="1"/>
    <x v="1"/>
    <x v="0"/>
    <x v="0"/>
    <x v="0"/>
    <x v="0"/>
    <x v="1"/>
    <x v="1"/>
    <x v="2"/>
    <x v="0"/>
    <x v="1"/>
    <x v="1"/>
    <x v="0"/>
    <x v="1"/>
    <s v="Poupa dinheiro até ter o valor necessário"/>
    <s v="Venderia as suas ações"/>
    <s v="Estou começando agora"/>
    <s v="Mesmo sendo muito caro, você compra o smartphone novo e fica sem dinheiro o resto do mês"/>
    <s v="Confesso que queria ter um controle maior, mas não sei por onde começar"/>
  </r>
  <r>
    <x v="0"/>
    <x v="3"/>
    <x v="2"/>
    <s v="De $5000 ou Mais"/>
    <x v="3"/>
    <x v="1"/>
    <x v="0"/>
    <x v="1"/>
    <x v="2"/>
    <x v="0"/>
    <x v="0"/>
    <x v="1"/>
    <x v="2"/>
    <x v="2"/>
    <x v="0"/>
    <x v="0"/>
    <x v="0"/>
    <x v="0"/>
    <x v="0"/>
    <x v="2"/>
    <x v="0"/>
    <x v="1"/>
    <x v="0"/>
    <x v="0"/>
    <x v="1"/>
    <x v="0"/>
    <x v="1"/>
    <x v="1"/>
    <x v="0"/>
    <x v="0"/>
    <s v="Assume parcelas dentro de seu orçamento "/>
    <s v="Venderia uma parte das ações"/>
    <s v="Estou começando agora"/>
    <s v="Você decide continuar utilizando o seu"/>
    <s v="Acompanho o saldo no banco e estou sempre de olho nos gastos com o cartão"/>
  </r>
  <r>
    <x v="1"/>
    <x v="1"/>
    <x v="3"/>
    <s v="De $2500 ate $4000"/>
    <x v="4"/>
    <x v="0"/>
    <x v="1"/>
    <x v="2"/>
    <x v="1"/>
    <x v="0"/>
    <x v="3"/>
    <x v="2"/>
    <x v="3"/>
    <x v="2"/>
    <x v="0"/>
    <x v="2"/>
    <x v="2"/>
    <x v="2"/>
    <x v="0"/>
    <x v="2"/>
    <x v="0"/>
    <x v="2"/>
    <x v="0"/>
    <x v="1"/>
    <x v="0"/>
    <x v="2"/>
    <x v="1"/>
    <x v="2"/>
    <x v="1"/>
    <x v="0"/>
    <s v="Assume parcelas dentro de seu orçamento "/>
    <s v="Venderia uma parte das ações"/>
    <s v="Preciso primeiro pagar as minhas dividas"/>
    <s v="Você decide continuar utilizando o seu"/>
    <s v="Acompanho o saldo no banco e estou sempre de olho nos gastos com o cartão"/>
  </r>
  <r>
    <x v="0"/>
    <x v="3"/>
    <x v="3"/>
    <s v="De $2500 ate $4000"/>
    <x v="2"/>
    <x v="1"/>
    <x v="0"/>
    <x v="1"/>
    <x v="0"/>
    <x v="0"/>
    <x v="0"/>
    <x v="3"/>
    <x v="3"/>
    <x v="0"/>
    <x v="0"/>
    <x v="0"/>
    <x v="2"/>
    <x v="2"/>
    <x v="0"/>
    <x v="1"/>
    <x v="0"/>
    <x v="2"/>
    <x v="1"/>
    <x v="1"/>
    <x v="0"/>
    <x v="2"/>
    <x v="1"/>
    <x v="0"/>
    <x v="1"/>
    <x v="1"/>
    <s v="Poupa dinheiro até ter o valor necessário"/>
    <s v="Venderia uma parte das ações"/>
    <s v="Estou começando agora"/>
    <s v="Você decide continuar utilizando o seu"/>
    <s v="Sim Uso planilha/aplicativo e sei exatamente para onde o meu dinheiro vai"/>
  </r>
  <r>
    <x v="0"/>
    <x v="2"/>
    <x v="1"/>
    <s v="De $2500 ate $4000"/>
    <x v="3"/>
    <x v="1"/>
    <x v="0"/>
    <x v="1"/>
    <x v="0"/>
    <x v="0"/>
    <x v="3"/>
    <x v="2"/>
    <x v="1"/>
    <x v="0"/>
    <x v="0"/>
    <x v="0"/>
    <x v="3"/>
    <x v="0"/>
    <x v="1"/>
    <x v="0"/>
    <x v="2"/>
    <x v="2"/>
    <x v="1"/>
    <x v="0"/>
    <x v="1"/>
    <x v="2"/>
    <x v="1"/>
    <x v="3"/>
    <x v="0"/>
    <x v="0"/>
    <s v="Assume parcelas dentro de seu orçamento "/>
    <s v="Venderia uma parte das ações"/>
    <s v="Estou começando agora"/>
    <s v="Você decide continuar utilizando o seu"/>
    <s v="Sim Uso planilha/aplicativo e sei exatamente para onde o meu dinheiro vai"/>
  </r>
  <r>
    <x v="1"/>
    <x v="0"/>
    <x v="0"/>
    <s v="De $5000 ou Mais"/>
    <x v="4"/>
    <x v="0"/>
    <x v="1"/>
    <x v="2"/>
    <x v="1"/>
    <x v="0"/>
    <x v="3"/>
    <x v="1"/>
    <x v="2"/>
    <x v="2"/>
    <x v="0"/>
    <x v="1"/>
    <x v="0"/>
    <x v="1"/>
    <x v="0"/>
    <x v="0"/>
    <x v="0"/>
    <x v="1"/>
    <x v="1"/>
    <x v="1"/>
    <x v="1"/>
    <x v="0"/>
    <x v="1"/>
    <x v="0"/>
    <x v="0"/>
    <x v="0"/>
    <s v="Assume parcelas dentro de seu orçamento "/>
    <s v="Venderia uma parte das ações"/>
    <s v="Preciso primeiro pagar as minhas dividas"/>
    <s v="Você decide continuar utilizando o seu"/>
    <s v="Confesso que queria ter um controle maior, mas não sei por onde começar"/>
  </r>
  <r>
    <x v="0"/>
    <x v="0"/>
    <x v="0"/>
    <s v="De $5000 ou Mais"/>
    <x v="0"/>
    <x v="0"/>
    <x v="2"/>
    <x v="1"/>
    <x v="3"/>
    <x v="1"/>
    <x v="3"/>
    <x v="0"/>
    <x v="1"/>
    <x v="2"/>
    <x v="0"/>
    <x v="1"/>
    <x v="1"/>
    <x v="0"/>
    <x v="1"/>
    <x v="1"/>
    <x v="1"/>
    <x v="0"/>
    <x v="0"/>
    <x v="0"/>
    <x v="0"/>
    <x v="0"/>
    <x v="1"/>
    <x v="0"/>
    <x v="1"/>
    <x v="0"/>
    <s v="Poupa dinheiro até ter o valor necessário"/>
    <s v="Venderia as suas ações"/>
    <s v="Preciso primeiro pagar as minhas dividas"/>
    <s v="Você decide continuar utilizando o seu"/>
    <s v="Acompanho o saldo no banco e estou sempre de olho nos gastos com o cartão"/>
  </r>
  <r>
    <x v="1"/>
    <x v="3"/>
    <x v="3"/>
    <s v="De $5000 ou Mais"/>
    <x v="2"/>
    <x v="1"/>
    <x v="0"/>
    <x v="1"/>
    <x v="2"/>
    <x v="1"/>
    <x v="3"/>
    <x v="2"/>
    <x v="2"/>
    <x v="2"/>
    <x v="0"/>
    <x v="0"/>
    <x v="2"/>
    <x v="2"/>
    <x v="2"/>
    <x v="1"/>
    <x v="0"/>
    <x v="2"/>
    <x v="0"/>
    <x v="0"/>
    <x v="0"/>
    <x v="2"/>
    <x v="0"/>
    <x v="3"/>
    <x v="1"/>
    <x v="0"/>
    <s v="Assume parcelas dentro de seu orçamento "/>
    <s v="Venderia uma parte das ações"/>
    <s v="Preciso primeiro pagar as minhas dividas"/>
    <s v="Você decide continuar utilizando o seu"/>
    <s v="Sim Uso planilha/aplicativo e sei exatamente para onde o meu dinheiro vai"/>
  </r>
  <r>
    <x v="0"/>
    <x v="2"/>
    <x v="3"/>
    <s v="De $1200 ate $2400"/>
    <x v="3"/>
    <x v="1"/>
    <x v="0"/>
    <x v="0"/>
    <x v="1"/>
    <x v="0"/>
    <x v="0"/>
    <x v="1"/>
    <x v="1"/>
    <x v="0"/>
    <x v="0"/>
    <x v="0"/>
    <x v="0"/>
    <x v="1"/>
    <x v="0"/>
    <x v="2"/>
    <x v="0"/>
    <x v="1"/>
    <x v="0"/>
    <x v="0"/>
    <x v="0"/>
    <x v="0"/>
    <x v="1"/>
    <x v="3"/>
    <x v="0"/>
    <x v="0"/>
    <s v="Assume parcelas dentro de seu orçamento "/>
    <s v="Venderia uma parte das ações"/>
    <s v="Estou começando agora"/>
    <s v="Você decide continuar utilizando o seu"/>
    <s v="Sim Uso planilha/aplicativo e sei exatamente para onde o meu dinheiro vai"/>
  </r>
  <r>
    <x v="1"/>
    <x v="1"/>
    <x v="2"/>
    <s v="De $5000 ou Mais"/>
    <x v="3"/>
    <x v="1"/>
    <x v="0"/>
    <x v="0"/>
    <x v="0"/>
    <x v="0"/>
    <x v="0"/>
    <x v="0"/>
    <x v="0"/>
    <x v="1"/>
    <x v="0"/>
    <x v="1"/>
    <x v="3"/>
    <x v="1"/>
    <x v="0"/>
    <x v="2"/>
    <x v="0"/>
    <x v="1"/>
    <x v="0"/>
    <x v="0"/>
    <x v="0"/>
    <x v="0"/>
    <x v="1"/>
    <x v="0"/>
    <x v="0"/>
    <x v="0"/>
    <s v="Poupa dinheiro até ter o valor necessário"/>
    <s v="Venderia uma parte das ações"/>
    <s v="Estou começando agora"/>
    <s v="Você decide continuar utilizando o seu"/>
    <s v="Sim Uso planilha/aplicativo e sei exatamente para onde o meu dinheiro vai"/>
  </r>
  <r>
    <x v="0"/>
    <x v="3"/>
    <x v="3"/>
    <s v="De $1200 ate $2400"/>
    <x v="0"/>
    <x v="1"/>
    <x v="2"/>
    <x v="1"/>
    <x v="1"/>
    <x v="0"/>
    <x v="0"/>
    <x v="0"/>
    <x v="1"/>
    <x v="0"/>
    <x v="0"/>
    <x v="0"/>
    <x v="0"/>
    <x v="0"/>
    <x v="0"/>
    <x v="1"/>
    <x v="0"/>
    <x v="2"/>
    <x v="1"/>
    <x v="1"/>
    <x v="2"/>
    <x v="0"/>
    <x v="1"/>
    <x v="1"/>
    <x v="0"/>
    <x v="0"/>
    <s v="Assume parcelas dentro de seu orçamento "/>
    <s v="Venderia as suas ações"/>
    <s v="Estou começando agora"/>
    <s v="Você decide continuar utilizando o seu"/>
    <s v="Acompanho o saldo no banco e estou sempre de olho nos gastos com o cartão"/>
  </r>
  <r>
    <x v="0"/>
    <x v="2"/>
    <x v="1"/>
    <s v="De $2500 ate $4000"/>
    <x v="2"/>
    <x v="1"/>
    <x v="0"/>
    <x v="0"/>
    <x v="1"/>
    <x v="0"/>
    <x v="3"/>
    <x v="1"/>
    <x v="0"/>
    <x v="0"/>
    <x v="0"/>
    <x v="0"/>
    <x v="3"/>
    <x v="1"/>
    <x v="0"/>
    <x v="2"/>
    <x v="0"/>
    <x v="1"/>
    <x v="1"/>
    <x v="0"/>
    <x v="2"/>
    <x v="0"/>
    <x v="1"/>
    <x v="3"/>
    <x v="0"/>
    <x v="0"/>
    <s v="Assume parcelas dentro de seu orçamento "/>
    <s v="Venderia uma parte das ações"/>
    <s v="Preciso primeiro pagar as minhas dividas"/>
    <s v="Você decide continuar utilizando o seu"/>
    <s v="Sim Uso planilha/aplicativo e sei exatamente para onde o meu dinheiro vai"/>
  </r>
  <r>
    <x v="1"/>
    <x v="1"/>
    <x v="1"/>
    <s v="De $5000 ou Mais"/>
    <x v="2"/>
    <x v="0"/>
    <x v="0"/>
    <x v="1"/>
    <x v="0"/>
    <x v="0"/>
    <x v="1"/>
    <x v="1"/>
    <x v="3"/>
    <x v="0"/>
    <x v="0"/>
    <x v="1"/>
    <x v="0"/>
    <x v="1"/>
    <x v="0"/>
    <x v="2"/>
    <x v="0"/>
    <x v="1"/>
    <x v="0"/>
    <x v="0"/>
    <x v="2"/>
    <x v="0"/>
    <x v="1"/>
    <x v="0"/>
    <x v="0"/>
    <x v="0"/>
    <s v="Poupa dinheiro até ter o valor necessário"/>
    <s v="Venderia as suas ações"/>
    <s v="Estou começando agora"/>
    <s v="Você decide continuar utilizando o seu"/>
    <s v="Sim Uso planilha/aplicativo e sei exatamente para onde o meu dinheiro vai"/>
  </r>
  <r>
    <x v="0"/>
    <x v="1"/>
    <x v="1"/>
    <s v="De $5000 ou Mais"/>
    <x v="2"/>
    <x v="1"/>
    <x v="0"/>
    <x v="0"/>
    <x v="1"/>
    <x v="0"/>
    <x v="1"/>
    <x v="1"/>
    <x v="0"/>
    <x v="0"/>
    <x v="0"/>
    <x v="1"/>
    <x v="0"/>
    <x v="1"/>
    <x v="0"/>
    <x v="2"/>
    <x v="0"/>
    <x v="0"/>
    <x v="1"/>
    <x v="0"/>
    <x v="1"/>
    <x v="1"/>
    <x v="0"/>
    <x v="0"/>
    <x v="0"/>
    <x v="0"/>
    <s v="Assume parcelas dentro de seu orçamento "/>
    <s v="Venderia uma parte das ações"/>
    <s v="Estou começando agora"/>
    <s v="Você escolhe um modelo mais moderno e com o melhor custo benefício"/>
    <s v="Sim Uso planilha/aplicativo e sei exatamente para onde o meu dinheiro vai"/>
  </r>
  <r>
    <x v="1"/>
    <x v="1"/>
    <x v="3"/>
    <s v="De $2500 ate $4000"/>
    <x v="4"/>
    <x v="1"/>
    <x v="1"/>
    <x v="0"/>
    <x v="1"/>
    <x v="0"/>
    <x v="3"/>
    <x v="2"/>
    <x v="0"/>
    <x v="0"/>
    <x v="0"/>
    <x v="0"/>
    <x v="0"/>
    <x v="0"/>
    <x v="0"/>
    <x v="0"/>
    <x v="2"/>
    <x v="1"/>
    <x v="0"/>
    <x v="0"/>
    <x v="2"/>
    <x v="2"/>
    <x v="1"/>
    <x v="3"/>
    <x v="0"/>
    <x v="0"/>
    <s v="Assume parcelas dentro de seu orçamento "/>
    <s v="Venderia as suas ações"/>
    <s v="Preciso primeiro pagar as minhas dividas"/>
    <s v="Você decide continuar utilizando o seu"/>
    <s v="Confesso que queria ter um controle maior, mas não sei por onde começar"/>
  </r>
  <r>
    <x v="0"/>
    <x v="1"/>
    <x v="1"/>
    <s v="De $5000 ou Mais"/>
    <x v="1"/>
    <x v="0"/>
    <x v="1"/>
    <x v="0"/>
    <x v="0"/>
    <x v="0"/>
    <x v="2"/>
    <x v="0"/>
    <x v="1"/>
    <x v="0"/>
    <x v="0"/>
    <x v="0"/>
    <x v="3"/>
    <x v="0"/>
    <x v="0"/>
    <x v="1"/>
    <x v="0"/>
    <x v="0"/>
    <x v="1"/>
    <x v="0"/>
    <x v="0"/>
    <x v="1"/>
    <x v="1"/>
    <x v="0"/>
    <x v="0"/>
    <x v="0"/>
    <s v="Poupa dinheiro até ter o valor necessário"/>
    <s v="Compraria mais"/>
    <s v="Claro! guardo com frequência"/>
    <s v="Você decide continuar utilizando o seu"/>
    <s v="Acompanho o saldo no banco e estou sempre de olho nos gastos com o cartão"/>
  </r>
  <r>
    <x v="1"/>
    <x v="2"/>
    <x v="1"/>
    <s v="De $5000 ou Mais"/>
    <x v="1"/>
    <x v="0"/>
    <x v="1"/>
    <x v="1"/>
    <x v="0"/>
    <x v="0"/>
    <x v="0"/>
    <x v="1"/>
    <x v="1"/>
    <x v="0"/>
    <x v="0"/>
    <x v="0"/>
    <x v="0"/>
    <x v="1"/>
    <x v="0"/>
    <x v="0"/>
    <x v="1"/>
    <x v="2"/>
    <x v="1"/>
    <x v="0"/>
    <x v="0"/>
    <x v="2"/>
    <x v="1"/>
    <x v="0"/>
    <x v="1"/>
    <x v="0"/>
    <s v="Assume parcelas dentro de seu orçamento "/>
    <s v="Compraria mais"/>
    <s v="Estou começando agora"/>
    <s v="Você escolhe um modelo mais moderno e com o melhor custo benefício"/>
    <s v="Sim Uso planilha/aplicativo e sei exatamente para onde o meu dinheiro vai"/>
  </r>
  <r>
    <x v="0"/>
    <x v="0"/>
    <x v="0"/>
    <s v="De $1200 ate $2400"/>
    <x v="4"/>
    <x v="0"/>
    <x v="0"/>
    <x v="0"/>
    <x v="1"/>
    <x v="0"/>
    <x v="3"/>
    <x v="2"/>
    <x v="0"/>
    <x v="2"/>
    <x v="0"/>
    <x v="0"/>
    <x v="3"/>
    <x v="1"/>
    <x v="0"/>
    <x v="2"/>
    <x v="0"/>
    <x v="2"/>
    <x v="1"/>
    <x v="1"/>
    <x v="2"/>
    <x v="2"/>
    <x v="1"/>
    <x v="2"/>
    <x v="0"/>
    <x v="0"/>
    <s v="Assume parcelas dentro de seu orçamento "/>
    <s v="Venderia as suas ações"/>
    <s v="Preciso primeiro pagar as minhas dividas"/>
    <s v="Você decide continuar utilizando o seu"/>
    <s v="Sim Uso planilha/aplicativo e sei exatamente para onde o meu dinheiro vai"/>
  </r>
  <r>
    <x v="1"/>
    <x v="0"/>
    <x v="0"/>
    <s v="De $2500 ate $4000"/>
    <x v="1"/>
    <x v="0"/>
    <x v="1"/>
    <x v="1"/>
    <x v="2"/>
    <x v="0"/>
    <x v="1"/>
    <x v="1"/>
    <x v="3"/>
    <x v="2"/>
    <x v="0"/>
    <x v="0"/>
    <x v="0"/>
    <x v="0"/>
    <x v="0"/>
    <x v="0"/>
    <x v="0"/>
    <x v="2"/>
    <x v="1"/>
    <x v="0"/>
    <x v="0"/>
    <x v="2"/>
    <x v="1"/>
    <x v="0"/>
    <x v="1"/>
    <x v="0"/>
    <s v="Assume parcelas dentro de seu orçamento "/>
    <s v="Venderia uma parte das ações"/>
    <s v="Estou começando agora"/>
    <s v="Você decide continuar utilizando o seu"/>
    <s v="Não preciso Vou gastando à medida que tem dinheiro sobrando"/>
  </r>
  <r>
    <x v="0"/>
    <x v="1"/>
    <x v="3"/>
    <s v="De $5000 ou Mais"/>
    <x v="0"/>
    <x v="0"/>
    <x v="1"/>
    <x v="1"/>
    <x v="2"/>
    <x v="0"/>
    <x v="0"/>
    <x v="1"/>
    <x v="3"/>
    <x v="0"/>
    <x v="0"/>
    <x v="0"/>
    <x v="0"/>
    <x v="1"/>
    <x v="1"/>
    <x v="1"/>
    <x v="0"/>
    <x v="0"/>
    <x v="0"/>
    <x v="1"/>
    <x v="0"/>
    <x v="1"/>
    <x v="0"/>
    <x v="0"/>
    <x v="0"/>
    <x v="0"/>
    <s v="Assume parcelas dentro de seu orçamento "/>
    <s v="Compraria mais"/>
    <s v="Preciso primeiro pagar as minhas dividas"/>
    <s v="Você decide continuar utilizando o seu"/>
    <s v="Acompanho o saldo no banco e estou sempre de olho nos gastos com o cartão"/>
  </r>
  <r>
    <x v="0"/>
    <x v="2"/>
    <x v="0"/>
    <s v="De $1200 ate $2400"/>
    <x v="0"/>
    <x v="1"/>
    <x v="2"/>
    <x v="2"/>
    <x v="3"/>
    <x v="2"/>
    <x v="3"/>
    <x v="2"/>
    <x v="3"/>
    <x v="2"/>
    <x v="0"/>
    <x v="0"/>
    <x v="3"/>
    <x v="2"/>
    <x v="0"/>
    <x v="0"/>
    <x v="2"/>
    <x v="2"/>
    <x v="0"/>
    <x v="1"/>
    <x v="2"/>
    <x v="2"/>
    <x v="1"/>
    <x v="2"/>
    <x v="1"/>
    <x v="1"/>
    <s v="Pede dinheiro emprestado"/>
    <s v="Compraria mais"/>
    <s v="Preciso primeiro pagar as minhas dividas"/>
    <s v="Você decide continuar utilizando o seu"/>
    <s v="Confesso que queria ter um controle maior, mas não sei por onde começar"/>
  </r>
  <r>
    <x v="0"/>
    <x v="0"/>
    <x v="3"/>
    <s v="De $2500 ate $4000"/>
    <x v="1"/>
    <x v="0"/>
    <x v="1"/>
    <x v="0"/>
    <x v="1"/>
    <x v="0"/>
    <x v="0"/>
    <x v="0"/>
    <x v="1"/>
    <x v="1"/>
    <x v="0"/>
    <x v="1"/>
    <x v="0"/>
    <x v="0"/>
    <x v="0"/>
    <x v="1"/>
    <x v="0"/>
    <x v="2"/>
    <x v="1"/>
    <x v="0"/>
    <x v="1"/>
    <x v="2"/>
    <x v="0"/>
    <x v="0"/>
    <x v="0"/>
    <x v="0"/>
    <s v="Poupa dinheiro até ter o valor necessário"/>
    <s v="Venderia uma parte das ações"/>
    <s v="Claro! guardo com frequência"/>
    <s v="Você decide continuar utilizando o seu"/>
    <s v="Confesso que queria ter um controle maior, mas não sei por onde começar"/>
  </r>
  <r>
    <x v="0"/>
    <x v="0"/>
    <x v="3"/>
    <s v="De $2500 ate $4000"/>
    <x v="3"/>
    <x v="1"/>
    <x v="1"/>
    <x v="1"/>
    <x v="2"/>
    <x v="0"/>
    <x v="0"/>
    <x v="1"/>
    <x v="3"/>
    <x v="0"/>
    <x v="0"/>
    <x v="0"/>
    <x v="0"/>
    <x v="2"/>
    <x v="0"/>
    <x v="2"/>
    <x v="0"/>
    <x v="1"/>
    <x v="0"/>
    <x v="0"/>
    <x v="0"/>
    <x v="0"/>
    <x v="1"/>
    <x v="0"/>
    <x v="0"/>
    <x v="0"/>
    <s v="Assume parcelas dentro de seu orçamento "/>
    <s v="Venderia uma parte das ações"/>
    <s v="Estou começando agora"/>
    <s v="Você decide continuar utilizando o seu"/>
    <s v="Acompanho o saldo no banco e estou sempre de olho nos gastos com o cartão"/>
  </r>
  <r>
    <x v="0"/>
    <x v="1"/>
    <x v="2"/>
    <s v="De $5000 ou Mais"/>
    <x v="2"/>
    <x v="1"/>
    <x v="0"/>
    <x v="0"/>
    <x v="0"/>
    <x v="0"/>
    <x v="2"/>
    <x v="0"/>
    <x v="1"/>
    <x v="1"/>
    <x v="0"/>
    <x v="1"/>
    <x v="0"/>
    <x v="1"/>
    <x v="2"/>
    <x v="1"/>
    <x v="1"/>
    <x v="0"/>
    <x v="2"/>
    <x v="1"/>
    <x v="1"/>
    <x v="1"/>
    <x v="0"/>
    <x v="0"/>
    <x v="0"/>
    <x v="0"/>
    <s v="Assume parcelas dentro de seu orçamento "/>
    <s v="Compraria mais"/>
    <s v="Claro! guardo com frequência"/>
    <s v="Você decide continuar utilizando o seu"/>
    <s v="Sim Uso planilha/aplicativo e sei exatamente para onde o meu dinheiro vai"/>
  </r>
  <r>
    <x v="0"/>
    <x v="2"/>
    <x v="3"/>
    <s v="De $1200 ate $2400"/>
    <x v="2"/>
    <x v="1"/>
    <x v="2"/>
    <x v="2"/>
    <x v="1"/>
    <x v="2"/>
    <x v="3"/>
    <x v="2"/>
    <x v="0"/>
    <x v="2"/>
    <x v="1"/>
    <x v="0"/>
    <x v="3"/>
    <x v="0"/>
    <x v="0"/>
    <x v="0"/>
    <x v="2"/>
    <x v="1"/>
    <x v="0"/>
    <x v="0"/>
    <x v="2"/>
    <x v="0"/>
    <x v="0"/>
    <x v="1"/>
    <x v="1"/>
    <x v="1"/>
    <s v="Assume parcelas dentro de seu orçamento "/>
    <s v="Venderia uma parte das ações"/>
    <s v="Preciso primeiro pagar as minhas dividas"/>
    <s v="Você decide continuar utilizando o seu"/>
    <s v="Confesso que queria ter um controle maior, mas não sei por onde começar"/>
  </r>
  <r>
    <x v="1"/>
    <x v="1"/>
    <x v="2"/>
    <s v="De $5000 ou Mais"/>
    <x v="2"/>
    <x v="1"/>
    <x v="2"/>
    <x v="1"/>
    <x v="0"/>
    <x v="0"/>
    <x v="3"/>
    <x v="1"/>
    <x v="3"/>
    <x v="2"/>
    <x v="0"/>
    <x v="1"/>
    <x v="1"/>
    <x v="2"/>
    <x v="0"/>
    <x v="0"/>
    <x v="2"/>
    <x v="1"/>
    <x v="1"/>
    <x v="0"/>
    <x v="2"/>
    <x v="0"/>
    <x v="0"/>
    <x v="1"/>
    <x v="0"/>
    <x v="0"/>
    <s v="Pede dinheiro emprestado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1"/>
    <x v="3"/>
    <x v="3"/>
    <s v="De $1200 ate $2400"/>
    <x v="0"/>
    <x v="0"/>
    <x v="1"/>
    <x v="1"/>
    <x v="2"/>
    <x v="0"/>
    <x v="3"/>
    <x v="1"/>
    <x v="3"/>
    <x v="0"/>
    <x v="0"/>
    <x v="2"/>
    <x v="3"/>
    <x v="2"/>
    <x v="0"/>
    <x v="2"/>
    <x v="2"/>
    <x v="2"/>
    <x v="1"/>
    <x v="0"/>
    <x v="1"/>
    <x v="0"/>
    <x v="1"/>
    <x v="1"/>
    <x v="1"/>
    <x v="0"/>
    <s v="Assume parcelas dentro de seu orçamento "/>
    <s v="Venderia uma parte das ações"/>
    <s v="O que é isso?"/>
    <s v="Você decide continuar utilizando o seu"/>
    <s v="Acompanho o saldo no banco e estou sempre de olho nos gastos com o cartão"/>
  </r>
  <r>
    <x v="0"/>
    <x v="0"/>
    <x v="3"/>
    <s v="De $2500 ate $4000"/>
    <x v="0"/>
    <x v="0"/>
    <x v="2"/>
    <x v="2"/>
    <x v="3"/>
    <x v="2"/>
    <x v="3"/>
    <x v="1"/>
    <x v="1"/>
    <x v="0"/>
    <x v="0"/>
    <x v="0"/>
    <x v="2"/>
    <x v="2"/>
    <x v="0"/>
    <x v="0"/>
    <x v="0"/>
    <x v="2"/>
    <x v="0"/>
    <x v="1"/>
    <x v="1"/>
    <x v="2"/>
    <x v="1"/>
    <x v="1"/>
    <x v="0"/>
    <x v="0"/>
    <s v="Assume parcelas dentro de seu orçamento "/>
    <s v="Venderia uma parte das ações"/>
    <s v="Preciso primeiro pagar as minhas dividas"/>
    <s v="Você decide continuar utilizando o seu"/>
    <s v="Acompanho o saldo no banco e estou sempre de olho nos gastos com o cartão"/>
  </r>
  <r>
    <x v="0"/>
    <x v="0"/>
    <x v="3"/>
    <s v="De $5000 ou Mais"/>
    <x v="0"/>
    <x v="0"/>
    <x v="0"/>
    <x v="0"/>
    <x v="1"/>
    <x v="0"/>
    <x v="2"/>
    <x v="1"/>
    <x v="3"/>
    <x v="0"/>
    <x v="0"/>
    <x v="1"/>
    <x v="0"/>
    <x v="0"/>
    <x v="1"/>
    <x v="2"/>
    <x v="0"/>
    <x v="2"/>
    <x v="1"/>
    <x v="1"/>
    <x v="0"/>
    <x v="2"/>
    <x v="1"/>
    <x v="0"/>
    <x v="0"/>
    <x v="0"/>
    <s v="Assume parcelas dentro de seu orçamento "/>
    <s v="Venderia as suas ações"/>
    <s v="Estou começando agora"/>
    <s v="Você escolhe um modelo mais moderno e com o melhor custo benefício"/>
    <s v="Sim Uso planilha/aplicativo e sei exatamente para onde o meu dinheiro vai"/>
  </r>
  <r>
    <x v="1"/>
    <x v="2"/>
    <x v="2"/>
    <s v="De $5000 ou Mais"/>
    <x v="1"/>
    <x v="1"/>
    <x v="0"/>
    <x v="1"/>
    <x v="1"/>
    <x v="0"/>
    <x v="0"/>
    <x v="1"/>
    <x v="2"/>
    <x v="1"/>
    <x v="0"/>
    <x v="2"/>
    <x v="3"/>
    <x v="1"/>
    <x v="0"/>
    <x v="1"/>
    <x v="0"/>
    <x v="2"/>
    <x v="1"/>
    <x v="0"/>
    <x v="0"/>
    <x v="0"/>
    <x v="0"/>
    <x v="0"/>
    <x v="1"/>
    <x v="1"/>
    <s v="Assume parcelas dentro de seu orçamento "/>
    <s v="Venderia uma parte das ações"/>
    <s v="Estou começando agora"/>
    <s v="Você decide continuar utilizando o seu"/>
    <s v="Acompanho o saldo no banco e estou sempre de olho nos gastos com o cartão"/>
  </r>
  <r>
    <x v="0"/>
    <x v="0"/>
    <x v="3"/>
    <s v="De $1200 ate $2400"/>
    <x v="2"/>
    <x v="1"/>
    <x v="2"/>
    <x v="0"/>
    <x v="2"/>
    <x v="0"/>
    <x v="3"/>
    <x v="2"/>
    <x v="3"/>
    <x v="0"/>
    <x v="0"/>
    <x v="1"/>
    <x v="0"/>
    <x v="1"/>
    <x v="0"/>
    <x v="1"/>
    <x v="0"/>
    <x v="2"/>
    <x v="1"/>
    <x v="0"/>
    <x v="0"/>
    <x v="0"/>
    <x v="1"/>
    <x v="0"/>
    <x v="0"/>
    <x v="0"/>
    <s v="Poupa dinheiro até ter o valor necessário"/>
    <s v="Venderia as suas ações"/>
    <s v="Preciso primeiro pagar as minhas dividas"/>
    <s v="Você decide continuar utilizando o seu"/>
    <s v="Acompanho o saldo no banco e estou sempre de olho nos gastos com o cartão"/>
  </r>
  <r>
    <x v="0"/>
    <x v="0"/>
    <x v="0"/>
    <s v="De $1200 ate $2400"/>
    <x v="1"/>
    <x v="0"/>
    <x v="0"/>
    <x v="0"/>
    <x v="1"/>
    <x v="3"/>
    <x v="1"/>
    <x v="0"/>
    <x v="1"/>
    <x v="1"/>
    <x v="0"/>
    <x v="1"/>
    <x v="0"/>
    <x v="1"/>
    <x v="0"/>
    <x v="1"/>
    <x v="2"/>
    <x v="1"/>
    <x v="0"/>
    <x v="0"/>
    <x v="0"/>
    <x v="1"/>
    <x v="0"/>
    <x v="0"/>
    <x v="0"/>
    <x v="0"/>
    <s v="Poupa dinheiro até ter o valor necessário"/>
    <s v="Compraria mais"/>
    <s v="Claro! guardo com frequência"/>
    <s v="Você escolhe um modelo mais moderno e com o melhor custo benefício"/>
    <s v="Acompanho o saldo no banco e estou sempre de olho nos gastos com o cartão"/>
  </r>
  <r>
    <x v="1"/>
    <x v="0"/>
    <x v="3"/>
    <s v="De $2500 ate $4000"/>
    <x v="0"/>
    <x v="0"/>
    <x v="0"/>
    <x v="0"/>
    <x v="0"/>
    <x v="1"/>
    <x v="3"/>
    <x v="2"/>
    <x v="1"/>
    <x v="2"/>
    <x v="1"/>
    <x v="1"/>
    <x v="0"/>
    <x v="1"/>
    <x v="0"/>
    <x v="1"/>
    <x v="2"/>
    <x v="2"/>
    <x v="1"/>
    <x v="1"/>
    <x v="0"/>
    <x v="2"/>
    <x v="1"/>
    <x v="0"/>
    <x v="0"/>
    <x v="0"/>
    <s v="Poupa dinheiro até ter o valor necessário"/>
    <s v="Venderia as suas ações"/>
    <s v="O que é isso?"/>
    <s v="Você decide continuar utilizando o seu"/>
    <s v="Confesso que queria ter um controle maior, mas não sei por onde começar"/>
  </r>
  <r>
    <x v="0"/>
    <x v="1"/>
    <x v="3"/>
    <s v="De $1200 ate $2400"/>
    <x v="1"/>
    <x v="1"/>
    <x v="2"/>
    <x v="2"/>
    <x v="0"/>
    <x v="1"/>
    <x v="3"/>
    <x v="2"/>
    <x v="0"/>
    <x v="2"/>
    <x v="1"/>
    <x v="0"/>
    <x v="2"/>
    <x v="1"/>
    <x v="0"/>
    <x v="0"/>
    <x v="2"/>
    <x v="2"/>
    <x v="1"/>
    <x v="0"/>
    <x v="2"/>
    <x v="2"/>
    <x v="1"/>
    <x v="2"/>
    <x v="1"/>
    <x v="2"/>
    <s v="Pede dinheiro emprestado"/>
    <s v="Compraria mais"/>
    <s v="Preciso primeiro pagar as minhas dividas"/>
    <s v="Você decide continuar utilizando o seu"/>
    <s v="Confesso que queria ter um controle maior, mas não sei por onde começa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A4777-67FD-4E6B-B428-E67748BDBCD8}" name="TDPerfil0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5:B18" firstHeaderRow="1" firstDataRow="1" firstDataCol="1"/>
  <pivotFields count="35"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ntagem de Você é a pessoa com a maior renda da sua casa?_x000a_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CDD5C4-EA6B-4E7C-A416-8CD232E1FE42}" name="TDPerfil0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8:B13" firstHeaderRow="1" firstDataRow="1" firstDataCol="1"/>
  <pivotFields count="35">
    <pivotField showAll="0"/>
    <pivotField showAll="0"/>
    <pivotField axis="axisRow" dataField="1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Qual sua renda?_x000a_" fld="2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5C9C22-3D8B-4A22-92D2-DCF505C6C862}" name="TDPerfil0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6" firstHeaderRow="1" firstDataRow="1" firstDataCol="1"/>
  <pivotFields count="35"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ntagem de Qual seu gênero?_x000a_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F470E-F7F7-485A-96FD-79B04A0A1632}" name="TDPerfil0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27:B33" firstHeaderRow="1" firstDataRow="1" firstDataCol="1"/>
  <pivotFields count="35">
    <pivotField showAll="0"/>
    <pivotField showAll="0"/>
    <pivotField showAll="0"/>
    <pivotField showAll="0"/>
    <pivotField axis="axisRow" dataField="1" showAll="0">
      <items count="6">
        <item x="3"/>
        <item x="2"/>
        <item x="4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agem de Quantas pessoas moram com você?" fld="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491AD-E331-4557-AD48-E76A2595AE5A}" name="TDPerfil0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20:B25" firstHeaderRow="1" firstDataRow="1" firstDataCol="1"/>
  <pivotFields count="35">
    <pivotField showAll="0"/>
    <pivotField axis="axisRow" dataField="1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Quantos anos você tem?" fld="1" subtotal="count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475954-4821-43ED-A841-7B3D987DE34F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2:B24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3"/>
        <item h="1" x="2"/>
        <item h="1"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Items count="1">
    <i/>
  </colItems>
  <dataFields count="1">
    <dataField name="Contagem de Os gastos são levados, muitas vezes, pelo lado emocional Qual destes comportamentos influenciam nas suas compras?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7AE25-463F-476D-A756-6F7A4698F343}" name="TDConsumo0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5:B20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3"/>
        <item h="1" x="2"/>
        <item h="1" x="0"/>
        <item h="1" x="1"/>
        <item t="default"/>
      </items>
    </pivotField>
    <pivotField showAll="0"/>
    <pivotField showAll="0"/>
    <pivotField showAll="0"/>
    <pivotField axis="axisRow" dataField="1" showAll="0">
      <items count="5">
        <item x="1"/>
        <item x="0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Período de férias, para você, é sinônimo de:" fld="1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DF04F0-0AAB-498C-9A6D-E94B960C45FA}" name="TDConsumo0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9:B13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3"/>
        <item h="1" x="2"/>
        <item h="1" x="0"/>
        <item h="1" x="1"/>
        <item t="default"/>
      </items>
    </pivotField>
    <pivotField showAll="0"/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Os seus amigos dizem que você:_x000a_" fld="17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BB16D0-E15C-49F7-AFBF-F6BB15F46530}" name="TDConsumo0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7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3"/>
        <item h="1" x="2"/>
        <item h="1" x="0"/>
        <item h="1" x="1"/>
        <item t="default"/>
      </items>
    </pivotField>
    <pivotField showAll="0"/>
    <pivotField showAll="0"/>
    <pivotField axis="axisRow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Quando é dia de promoção no supermercado, você:" fld="15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49DB67-B33E-4BCD-ADF2-36AC4E5A8E39}" name="TDinvestimento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57:B60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6"/>
  </rowFields>
  <rowItems count="3">
    <i>
      <x/>
    </i>
    <i>
      <x v="1"/>
    </i>
    <i t="grand">
      <x/>
    </i>
  </rowItems>
  <colItems count="1">
    <i/>
  </colItems>
  <dataFields count="1">
    <dataField name="Contagem de Caso você queira investir em renda variável, cujo retorno é imprevisível no momento do investimento, quanto da sua renda estaria destinada para isso?" fld="26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2040E-C182-49C8-A746-3EDC63C69C62}" name="TDinvestimento0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0:B43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3">
    <i>
      <x/>
    </i>
    <i>
      <x v="1"/>
    </i>
    <i t="grand">
      <x/>
    </i>
  </rowItems>
  <colItems count="1">
    <i/>
  </colItems>
  <dataFields count="1">
    <dataField name="Contagem de O que você prioriza na hora de investir?" fld="2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B7B151-339C-4B2F-A1C1-BCD3DC8632C1}" name="TDinvestimento0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5:B49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Como você define seu nível de experiência de mercado?" fld="2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67FDF-283B-4637-AA07-FDE1828111AB}" name="TDinvestimento0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8:B32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or quanto tempo você deseja manter o seu investimento?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5AA9A8-AC2A-45E3-B75A-C078CA09A719}" name="TDInvestimento0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3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Você investe o dinheiro que sobra?_x000a_" fld="10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91188-CFE8-4EA0-9F2C-1123CF3C2CA8}" name="TDinvestimento0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4:B38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Qual frase melhor te define na hora de escolher um investimento?" fld="22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2DB53-BC9B-449D-9F9F-2DE078D6F9CB}" name="TDinvestimento0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22:B26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Você arriscaria seu dinheiro em Investimentos?" fld="20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32E517-75FE-4875-9CD6-14F3264BEF9C}" name="TDinvestimento0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51:B55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Seu foco é em investimentos a:" fld="25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CC617-491D-4B0B-BDB6-33C6B34F0C9F}" name="TDinvestimento0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6:B20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axis="axisRow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Você possui algum objetivo relacionado á investimentos?" fld="19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9D2E8-8B8E-46A1-A223-FFEB2EFA2836}" name="TDInvestimento0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0:B14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Como você avalia seus conhecimento sobre investimentos?_x000a_" fld="1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B294D-2A5B-4681-8F63-1EF1C59B6300}" name="TDPlanejamento0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7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Como você faz seu controle financeiro?" fld="6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68F744-7456-48E4-B4DA-D673CB75064D}" name="TDPlanejamento0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15:B20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Quando você vai fazer compras(Shopping, supermercado, feira, etc), como você se comporta?" fld="8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7FC23-515D-4876-8BD8-C1C0AA1063D7}" name="TDPlanejamento0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22:B27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Como você costuma pagar suas compras?" fld="9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E5434-57AE-4097-9284-FA6167D6C576}" name="TDPlanejamento0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9:B13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Quando você recebe seu salário e ganhos mensais, você controla os seus gastos?" fld="7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FCDAE8-459C-45BE-BACB-632F56412041}" name="TDPlanejamento0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42:B45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Contagem de Com relação a fatura do cartão de crédito, você geralmente:_x000a_" fld="14" subtotal="count" baseField="0" baseItem="0"/>
  </dataFields>
  <chartFormats count="3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0A2D8A-DAEB-42BE-8329-303C1B91F10A}" name="TDPlanejamento0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6:B40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Se a partir de hoje você ficasse desempregado(a), por quanto tempo você garantiria dinheiro para pagar as despesas?_x000a_" fld="13" subtotal="count" baseField="0" baseItem="0"/>
  </dataFields>
  <chartFormats count="4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E1968A-8038-490F-A9D5-E6BCF2838059}" name="TDPlanejamento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58:B63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3"/>
        <item x="1"/>
        <item x="0"/>
        <item x="2"/>
        <item t="default"/>
      </items>
    </pivotField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2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No fim do mês, seu dinheiro:_x000a_" fld="27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F85741-B7D8-4C0A-A219-D05F1DA160AD}" name="TDPlanejamento0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29:B33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ntagem de Você consegue guardar dinheiro mensalmente?_x000a_" fld="11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C98BA0-E833-45B2-801D-85935D18E370}" name="TDPlanejamento0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3:B55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28"/>
  </rowFields>
  <rowItems count="2">
    <i>
      <x/>
    </i>
    <i t="grand">
      <x/>
    </i>
  </rowItems>
  <colItems count="1">
    <i/>
  </colItems>
  <dataFields count="1">
    <dataField name="Contagem de Você tem alguma dívida em atraso?_x000a_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14AC58-2406-4ED8-98BC-E60BC1493D9B}" name="TDPlanejamento0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47:B50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h="1" x="1"/>
        <item t="default"/>
      </items>
    </pivotField>
    <pivotField axis="axisRow" dataField="1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29"/>
  </rowFields>
  <rowItems count="3">
    <i>
      <x/>
    </i>
    <i>
      <x v="2"/>
    </i>
    <i t="grand">
      <x/>
    </i>
  </rowItems>
  <colItems count="1">
    <i/>
  </colItems>
  <dataFields count="1">
    <dataField name="Contagem de Você paga suas contas em dia?_x000a_" fld="29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o_você_avalia_seus_conhecimento_sobre_investimentos?" xr10:uid="{97237EBA-AB61-437C-9B62-C95F4D98CF43}" sourceName="Como você avalia seus conhecimento sobre investimentos?_x000a_">
  <pivotTables>
    <pivotTable tabId="8" name="TDInvestimento02"/>
    <pivotTable tabId="8" name="TDInvestimento01"/>
    <pivotTable tabId="8" name="TDinvestimento03"/>
    <pivotTable tabId="8" name="TDinvestimento04"/>
    <pivotTable tabId="8" name="TDinvestimento05"/>
    <pivotTable tabId="8" name="TDinvestimento06"/>
    <pivotTable tabId="8" name="TDinvestimento07"/>
    <pivotTable tabId="8" name="TDinvestimento08"/>
    <pivotTable tabId="8" name="TDinvestimento09"/>
    <pivotTable tabId="8" name="TDinvestimento10"/>
  </pivotTables>
  <data>
    <tabular pivotCacheId="716256723">
      <items count="3">
        <i x="2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s_gastos_são_levados__muitas_vezes__pelo_lado_emocional_Qual_destes_comportamentos_influenciam_nas_suas_compras?" xr10:uid="{57A63B16-AA45-458B-A46B-6995602BC97C}" sourceName="Os gastos são levados, muitas vezes, pelo lado emocional Qual destes comportamentos influenciam nas suas compras?">
  <pivotTables>
    <pivotTable tabId="4" name="Tabela dinâmica4"/>
    <pivotTable tabId="4" name="TDConsumo01"/>
    <pivotTable tabId="4" name="TDConsumo02"/>
    <pivotTable tabId="4" name="TDConsumo03"/>
  </pivotTables>
  <data>
    <tabular pivotCacheId="716256723">
      <items count="4">
        <i x="3" s="1"/>
        <i x="2"/>
        <i x="0"/>
        <i x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ocê_tem_alguma_dívida_em_atraso?" xr10:uid="{E09D2849-C5C0-4AE0-88A5-13877A12420D}" sourceName="Você tem alguma dívida em atraso?_x000a_">
  <pivotTables>
    <pivotTable tabId="10" name="TDPlanejamento09"/>
    <pivotTable tabId="10" name="TDPlanejamento01"/>
    <pivotTable tabId="10" name="TDPlanejamento02"/>
    <pivotTable tabId="10" name="TDPlanejamento03"/>
    <pivotTable tabId="10" name="TDPlanejamento04"/>
    <pivotTable tabId="10" name="TDPlanejamento05"/>
    <pivotTable tabId="10" name="TDPlanejamento06"/>
    <pivotTable tabId="10" name="TDPlanejamento07"/>
    <pivotTable tabId="10" name="TDPlanejamento08"/>
    <pivotTable tabId="10" name="TDPlanejamento10"/>
  </pivotTables>
  <data>
    <tabular pivotCacheId="716256723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s gastos são levados, muitas vezes, pelo lado emocional Qual destes comportamentos influenciam nas suas compras?" xr10:uid="{5B17CE19-8B54-4825-A002-B4529E44D040}" cache="SegmentaçãodeDados_Os_gastos_são_levados__muitas_vezes__pelo_lado_emocional_Qual_destes_comportamentos_influenciam_nas_suas_compras?" caption="Os gastos são levados, muitas vezes, pelo lado emocional Qual destes comportamentos influenciam nas suas compras?" columnCount="2" showCaption="0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o você avalia seus conhecimento sobre investimentos?_x000a_" xr10:uid="{6B81187F-3FAD-4DC0-A4FA-5063C0F5EFBF}" cache="SegmentaçãodeDados_Como_você_avalia_seus_conhecimento_sobre_investimentos?" caption="Como você avalia seus conhecimento sobre investimentos?_x000a_" columnCount="3" showCaption="0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ocê tem alguma dívida em atraso?_x000a_" xr10:uid="{4DFFEA8C-D92D-452C-B57C-F3498A3A8C52}" cache="SegmentaçãodeDados_Você_tem_alguma_dívida_em_atraso?" caption="Você tem alguma dívida em atraso?_x000a_" columnCount="2" showCaption="0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C198BB-5840-4D07-9345-3C3793C3667E}" name="base" displayName="base" ref="A1:AI54" totalsRowShown="0">
  <autoFilter ref="A1:AI54" xr:uid="{00000000-000C-0000-FFFF-FFFF00000000}"/>
  <tableColumns count="35">
    <tableColumn id="8" xr3:uid="{FB8CB896-B10E-4DDB-ACF0-19FB6C782552}" name="Qual seu gênero?_x000a_" dataDxfId="34"/>
    <tableColumn id="11" xr3:uid="{5FB44F6A-3912-4797-9FB0-45A7E067036A}" name="Quantos anos você tem?" dataDxfId="33"/>
    <tableColumn id="14" xr3:uid="{0DF4FB94-BC68-498B-B510-311DFBE85DFA}" name="Qual sua renda?_x000a_" dataDxfId="32"/>
    <tableColumn id="17" xr3:uid="{049CC54E-A591-4BFB-919E-FDC0D15A9832}" name="Qual a renda total da sua familia?_x000a_" dataDxfId="31"/>
    <tableColumn id="20" xr3:uid="{3D290495-ABF8-47C0-A18D-E39E1F3EBA23}" name="Quantas pessoas moram com você?" dataDxfId="30"/>
    <tableColumn id="23" xr3:uid="{9B19A684-690C-4A7D-ACF2-9E99099B5095}" name="Você é a pessoa com a maior renda da sua casa?_x000a_" dataDxfId="29"/>
    <tableColumn id="26" xr3:uid="{89D4ED19-B6C8-4669-9AF7-3519EE4343BE}" name="Como você faz seu controle financeiro?" dataDxfId="28"/>
    <tableColumn id="29" xr3:uid="{544AA11C-6037-4AA0-9BCF-522C3F285C8F}" name="Quando você recebe seu salário e ganhos mensais, você controla os seus gastos?" dataDxfId="27"/>
    <tableColumn id="32" xr3:uid="{FAAF0738-6096-4E1E-A18D-91F4334F27EE}" name="Quando você vai fazer compras(Shopping, supermercado, feira, etc), como você se comporta?" dataDxfId="26"/>
    <tableColumn id="35" xr3:uid="{CF41E33A-E6A1-4D51-B6AC-7AC6663816BD}" name="Como você costuma pagar suas compras?" dataDxfId="25"/>
    <tableColumn id="38" xr3:uid="{A5A2CF94-E9D3-4B5D-92FF-BFAA16F64EC6}" name="Você investe o dinheiro que sobra?_x000a_" dataDxfId="24"/>
    <tableColumn id="41" xr3:uid="{E61D457F-88D7-4B72-8A9F-70CC0353ED8E}" name="Você consegue guardar dinheiro mensalmente?_x000a_" dataDxfId="23"/>
    <tableColumn id="44" xr3:uid="{16F392B7-AD3C-4CDD-A677-9320FD515E69}" name="Os gastos são levados, muitas vezes, pelo lado emocional Qual destes comportamentos influenciam nas suas compras?" dataDxfId="22"/>
    <tableColumn id="47" xr3:uid="{DFA3ECBF-B66F-4422-9E8E-7F1B61751A9D}" name="Se a partir de hoje você ficasse desempregado(a), por quanto tempo você garantiria dinheiro para pagar as despesas?_x000a_" dataDxfId="21"/>
    <tableColumn id="50" xr3:uid="{FD170587-40DE-49BB-B1CD-3F64208148F4}" name="Com relação a fatura do cartão de crédito, você geralmente:_x000a_" dataDxfId="20"/>
    <tableColumn id="53" xr3:uid="{9D36017F-7DE9-4149-B6C2-D71A55D215F3}" name="Quando é dia de promoção no supermercado, você:" dataDxfId="19"/>
    <tableColumn id="56" xr3:uid="{C68FDD88-2FB8-476C-A56D-18349831DDF8}" name="Período de férias, para você, é sinônimo de:" dataDxfId="18"/>
    <tableColumn id="59" xr3:uid="{079CB074-FBFC-4131-B97F-9A2DFEE21F4C}" name="Os seus amigos dizem que você:_x000a_" dataDxfId="17"/>
    <tableColumn id="62" xr3:uid="{AE5A783A-C77E-415B-90AF-800999DFA03F}" name="Como você avalia seus conhecimento sobre investimentos?_x000a_" dataDxfId="16"/>
    <tableColumn id="65" xr3:uid="{DB94FB35-4D8E-4DBC-BC6C-A881EA4CA352}" name="Você possui algum objetivo relacionado á investimentos?" dataDxfId="15"/>
    <tableColumn id="68" xr3:uid="{F9D6CF29-8995-40E6-B5A2-65ACD2D511E6}" name="Você arriscaria seu dinheiro em Investimentos?" dataDxfId="14"/>
    <tableColumn id="69" xr3:uid="{ABDAA7A1-3612-48A5-92A2-18BE01908BD9}" name="Por quanto tempo você deseja manter o seu investimento?" dataDxfId="13"/>
    <tableColumn id="74" xr3:uid="{FD2539CD-F3AF-41C2-AC48-96F90FD86080}" name="Qual frase melhor te define na hora de escolher um investimento?" dataDxfId="12"/>
    <tableColumn id="75" xr3:uid="{C95E19AA-2662-4B19-8D90-6E2CD7C87E37}" name="O que você prioriza na hora de investir?" dataDxfId="11"/>
    <tableColumn id="76" xr3:uid="{09B5AE10-8093-4781-9DBC-46930A8A640D}" name="Como você define seu nível de experiência de mercado?" dataDxfId="10"/>
    <tableColumn id="83" xr3:uid="{A13DBE0D-182A-42E8-BAD4-F5141BBD8750}" name="Seu foco é em investimentos a:" dataDxfId="9"/>
    <tableColumn id="86" xr3:uid="{6EB7BCDC-A295-4D2E-BF40-C6C0D31F84E1}" name="Caso você queira investir em renda variável, cujo retorno é imprevisível no momento do investimento, quanto da sua renda estaria destinada para isso?" dataDxfId="8"/>
    <tableColumn id="89" xr3:uid="{2C40AFC4-CF95-49BE-86C0-8B3E51441E21}" name="No fim do mês, seu dinheiro:_x000a_" dataDxfId="7"/>
    <tableColumn id="92" xr3:uid="{3F21C45E-997E-4BDE-AB53-96E88D0DE5F0}" name="Você tem alguma dívida em atraso?_x000a_" dataDxfId="6"/>
    <tableColumn id="95" xr3:uid="{9ABBA347-12F1-4811-B094-A8C2607E7B5D}" name="Você paga suas contas em dia?_x000a_" dataDxfId="5"/>
    <tableColumn id="98" xr3:uid="{67219E04-5117-4AFB-9483-A9D5D58472A0}" name="Quando pretende comprar algo novo, você:_x000a_" dataDxfId="4"/>
    <tableColumn id="101" xr3:uid="{95FBF335-061B-4D36-AEC5-0A7859588050}" name="O que você faria se suas ações caíssem 20%?" dataDxfId="3"/>
    <tableColumn id="104" xr3:uid="{F58D9F0D-B725-478C-A1E2-939B8331C4FC}" name="Você já possui uma reserva de emergência?_x000a_" dataDxfId="2"/>
    <tableColumn id="105" xr3:uid="{137E42FA-9883-40EA-9368-CEF8284653CE}" name="Seu smartphone está em ótimo estado, mas uma versão mais moderna já foi lançada O que faz?" dataDxfId="1"/>
    <tableColumn id="110" xr3:uid="{7BBA0674-803D-4C00-A96F-FEA8EF1364B1}" name="Você sabe bem quais são as suas despesas mensais?_x000a_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3" Type="http://schemas.openxmlformats.org/officeDocument/2006/relationships/pivotTable" Target="../pivotTables/pivotTable12.xml"/><Relationship Id="rId7" Type="http://schemas.openxmlformats.org/officeDocument/2006/relationships/pivotTable" Target="../pivotTables/pivotTable16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10" Type="http://schemas.openxmlformats.org/officeDocument/2006/relationships/pivotTable" Target="../pivotTables/pivotTable19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7.xml"/><Relationship Id="rId3" Type="http://schemas.openxmlformats.org/officeDocument/2006/relationships/pivotTable" Target="../pivotTables/pivotTable22.xml"/><Relationship Id="rId7" Type="http://schemas.openxmlformats.org/officeDocument/2006/relationships/pivotTable" Target="../pivotTables/pivotTable26.xml"/><Relationship Id="rId2" Type="http://schemas.openxmlformats.org/officeDocument/2006/relationships/pivotTable" Target="../pivotTables/pivotTable21.xml"/><Relationship Id="rId1" Type="http://schemas.openxmlformats.org/officeDocument/2006/relationships/pivotTable" Target="../pivotTables/pivotTable20.xml"/><Relationship Id="rId6" Type="http://schemas.openxmlformats.org/officeDocument/2006/relationships/pivotTable" Target="../pivotTables/pivotTable25.xml"/><Relationship Id="rId5" Type="http://schemas.openxmlformats.org/officeDocument/2006/relationships/pivotTable" Target="../pivotTables/pivotTable24.xml"/><Relationship Id="rId10" Type="http://schemas.openxmlformats.org/officeDocument/2006/relationships/pivotTable" Target="../pivotTables/pivotTable29.xml"/><Relationship Id="rId4" Type="http://schemas.openxmlformats.org/officeDocument/2006/relationships/pivotTable" Target="../pivotTables/pivotTable23.xml"/><Relationship Id="rId9" Type="http://schemas.openxmlformats.org/officeDocument/2006/relationships/pivotTable" Target="../pivotTables/pivotTable2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40F3-5920-40B4-8C64-BB8276B32BC0}">
  <sheetPr codeName="Planilha5"/>
  <dimension ref="A1:AB60"/>
  <sheetViews>
    <sheetView tabSelected="1" zoomScaleNormal="100" workbookViewId="0"/>
  </sheetViews>
  <sheetFormatPr defaultRowHeight="15" x14ac:dyDescent="0.25"/>
  <sheetData>
    <row r="1" spans="1:28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8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8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8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8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1:28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1:28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1:28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1:28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1:28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1:28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1:28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1:28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1:28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1:28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1:28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1: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1:28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1:28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1:28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1:28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1:28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1:28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1:28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1:28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1:28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1:28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1:28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1:28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1:28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1:28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1:28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1:28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1:28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1:28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1:28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1:28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1:28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1:28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1:28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1:28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1:28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1:28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1:28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1:28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1:28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1:28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1:28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0E4A1-CC31-4464-BD60-E721C1CCDBD6}">
  <sheetPr codeName="Planilha6"/>
  <dimension ref="A1:AB60"/>
  <sheetViews>
    <sheetView showGridLines="0" zoomScaleNormal="100" workbookViewId="0"/>
  </sheetViews>
  <sheetFormatPr defaultRowHeight="15" x14ac:dyDescent="0.25"/>
  <sheetData>
    <row r="1" spans="1:28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8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8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8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8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1:28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1:28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1:28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1:28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1:28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1:28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1:28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1:28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1:28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1:28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1:28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1: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1:28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1:28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1:28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1:28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1:28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1:28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1:28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1:28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1:28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1:28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1:28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1:28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1:28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1:28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1:28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1:28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1:28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1:28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1:28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1:28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1:28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1:28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1:28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1:28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1:28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1:28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1:28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1:28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1:28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1:28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1:28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FB8E-2DCA-4BD8-883F-A87C820E99FC}">
  <sheetPr codeName="Planilha7"/>
  <dimension ref="A1:AB60"/>
  <sheetViews>
    <sheetView zoomScale="90" zoomScaleNormal="90" workbookViewId="0"/>
  </sheetViews>
  <sheetFormatPr defaultRowHeight="15" x14ac:dyDescent="0.25"/>
  <sheetData>
    <row r="1" spans="1:28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8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8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8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8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1:28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1:28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1:28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1:28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1:28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1:28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1:28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1:28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1:28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1:28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1:28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1: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1:28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1:28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1:28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1:28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1:28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1:28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1:28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1:28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1:28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1:28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1:28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1:28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1:28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1:28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1:28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1:28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1:28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1:28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1:28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1:28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1:28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1:28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1:28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1:28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1:28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1:28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1:28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1:28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1:28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1:28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1:28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AB9FF-78BF-49F0-BCDB-3000B6DA1F56}">
  <sheetPr codeName="Planilha8"/>
  <dimension ref="A1:AB60"/>
  <sheetViews>
    <sheetView zoomScale="80" zoomScaleNormal="80" workbookViewId="0"/>
  </sheetViews>
  <sheetFormatPr defaultRowHeight="15" x14ac:dyDescent="0.25"/>
  <sheetData>
    <row r="1" spans="1:28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8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8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8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8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1:28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1:28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1:28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1:28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1:28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1:28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1:28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1:28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1:28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1:28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1:28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1: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1:28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1:28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1:28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1:28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1:28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1:28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1:28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1:28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1:28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1:28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1:28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1:28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1:28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1:28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1:28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1:28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1:28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1:28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1:28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1:28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1:28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1:28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1:28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1:28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1:28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1:28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1:28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1:28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1:28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1:28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1:28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BF6F9-4F53-4109-897E-62C8D5948182}">
  <sheetPr codeName="Planilha1"/>
  <dimension ref="A3:I33"/>
  <sheetViews>
    <sheetView topLeftCell="A13" zoomScale="160" zoomScaleNormal="160" workbookViewId="0">
      <selection activeCell="B29" sqref="B29"/>
    </sheetView>
  </sheetViews>
  <sheetFormatPr defaultRowHeight="15" x14ac:dyDescent="0.25"/>
  <cols>
    <col min="1" max="1" width="18" bestFit="1" customWidth="1"/>
    <col min="2" max="2" width="45.42578125" bestFit="1" customWidth="1"/>
    <col min="6" max="6" width="9.28515625" customWidth="1"/>
    <col min="7" max="7" width="17.85546875" customWidth="1"/>
  </cols>
  <sheetData>
    <row r="3" spans="1:9" x14ac:dyDescent="0.25">
      <c r="A3" s="2" t="s">
        <v>147</v>
      </c>
      <c r="B3" t="s">
        <v>149</v>
      </c>
    </row>
    <row r="4" spans="1:9" x14ac:dyDescent="0.25">
      <c r="A4" s="3" t="s">
        <v>93</v>
      </c>
      <c r="B4">
        <v>27</v>
      </c>
    </row>
    <row r="5" spans="1:9" x14ac:dyDescent="0.25">
      <c r="A5" s="3" t="s">
        <v>35</v>
      </c>
      <c r="B5">
        <v>26</v>
      </c>
    </row>
    <row r="6" spans="1:9" x14ac:dyDescent="0.25">
      <c r="A6" s="3" t="s">
        <v>148</v>
      </c>
      <c r="B6">
        <v>53</v>
      </c>
    </row>
    <row r="8" spans="1:9" x14ac:dyDescent="0.25">
      <c r="A8" s="2" t="s">
        <v>147</v>
      </c>
      <c r="B8" t="s">
        <v>150</v>
      </c>
    </row>
    <row r="9" spans="1:9" x14ac:dyDescent="0.25">
      <c r="A9" s="3" t="s">
        <v>107</v>
      </c>
      <c r="B9">
        <v>30</v>
      </c>
    </row>
    <row r="10" spans="1:9" x14ac:dyDescent="0.25">
      <c r="A10" s="3" t="s">
        <v>74</v>
      </c>
      <c r="B10">
        <v>8</v>
      </c>
    </row>
    <row r="11" spans="1:9" x14ac:dyDescent="0.25">
      <c r="A11" s="3" t="s">
        <v>88</v>
      </c>
      <c r="B11">
        <v>7</v>
      </c>
    </row>
    <row r="12" spans="1:9" x14ac:dyDescent="0.25">
      <c r="A12" s="3" t="s">
        <v>37</v>
      </c>
      <c r="B12">
        <v>8</v>
      </c>
    </row>
    <row r="13" spans="1:9" x14ac:dyDescent="0.25">
      <c r="A13" s="3" t="s">
        <v>148</v>
      </c>
      <c r="B13">
        <v>53</v>
      </c>
    </row>
    <row r="15" spans="1:9" ht="35.25" customHeight="1" x14ac:dyDescent="0.25">
      <c r="A15" s="2" t="s">
        <v>147</v>
      </c>
      <c r="B15" t="s">
        <v>151</v>
      </c>
      <c r="F15" s="5" t="s">
        <v>147</v>
      </c>
      <c r="G15" s="9" t="s">
        <v>154</v>
      </c>
      <c r="H15" s="6" t="s">
        <v>155</v>
      </c>
      <c r="I15" s="6" t="s">
        <v>156</v>
      </c>
    </row>
    <row r="16" spans="1:9" x14ac:dyDescent="0.25">
      <c r="A16" s="3" t="s">
        <v>40</v>
      </c>
      <c r="B16">
        <v>32</v>
      </c>
      <c r="F16" s="5" t="s">
        <v>40</v>
      </c>
      <c r="G16" s="6">
        <v>32</v>
      </c>
      <c r="H16" s="7">
        <f>G16/G18</f>
        <v>0.60377358490566035</v>
      </c>
      <c r="I16" s="8">
        <f>1-H16</f>
        <v>0.39622641509433965</v>
      </c>
    </row>
    <row r="17" spans="1:9" x14ac:dyDescent="0.25">
      <c r="A17" s="3" t="s">
        <v>76</v>
      </c>
      <c r="B17">
        <v>21</v>
      </c>
      <c r="F17" s="5" t="s">
        <v>76</v>
      </c>
      <c r="G17" s="6">
        <v>21</v>
      </c>
      <c r="H17" s="7">
        <f>G17/G18</f>
        <v>0.39622641509433965</v>
      </c>
      <c r="I17" s="8">
        <f>1-H17</f>
        <v>0.60377358490566035</v>
      </c>
    </row>
    <row r="18" spans="1:9" x14ac:dyDescent="0.25">
      <c r="A18" s="3" t="s">
        <v>148</v>
      </c>
      <c r="B18">
        <v>53</v>
      </c>
      <c r="F18" s="5" t="s">
        <v>148</v>
      </c>
      <c r="G18" s="6">
        <v>53</v>
      </c>
      <c r="H18" s="5"/>
      <c r="I18" s="5"/>
    </row>
    <row r="20" spans="1:9" x14ac:dyDescent="0.25">
      <c r="A20" s="2" t="s">
        <v>147</v>
      </c>
      <c r="B20" t="s">
        <v>152</v>
      </c>
    </row>
    <row r="21" spans="1:9" x14ac:dyDescent="0.25">
      <c r="A21" s="3" t="s">
        <v>98</v>
      </c>
      <c r="B21">
        <v>8</v>
      </c>
    </row>
    <row r="22" spans="1:9" x14ac:dyDescent="0.25">
      <c r="A22" s="3" t="s">
        <v>36</v>
      </c>
      <c r="B22">
        <v>14</v>
      </c>
    </row>
    <row r="23" spans="1:9" x14ac:dyDescent="0.25">
      <c r="A23" s="3" t="s">
        <v>117</v>
      </c>
      <c r="B23">
        <v>18</v>
      </c>
    </row>
    <row r="24" spans="1:9" x14ac:dyDescent="0.25">
      <c r="A24" s="3" t="s">
        <v>73</v>
      </c>
      <c r="B24">
        <v>13</v>
      </c>
    </row>
    <row r="25" spans="1:9" x14ac:dyDescent="0.25">
      <c r="A25" s="3" t="s">
        <v>148</v>
      </c>
      <c r="B25">
        <v>53</v>
      </c>
    </row>
    <row r="27" spans="1:9" x14ac:dyDescent="0.25">
      <c r="A27" s="2" t="s">
        <v>147</v>
      </c>
      <c r="B27" t="s">
        <v>153</v>
      </c>
    </row>
    <row r="28" spans="1:9" x14ac:dyDescent="0.25">
      <c r="A28" s="3" t="s">
        <v>118</v>
      </c>
      <c r="B28">
        <v>5</v>
      </c>
    </row>
    <row r="29" spans="1:9" x14ac:dyDescent="0.25">
      <c r="A29" s="3" t="s">
        <v>94</v>
      </c>
      <c r="B29">
        <v>11</v>
      </c>
    </row>
    <row r="30" spans="1:9" x14ac:dyDescent="0.25">
      <c r="A30" s="3" t="s">
        <v>123</v>
      </c>
      <c r="B30">
        <v>4</v>
      </c>
    </row>
    <row r="31" spans="1:9" x14ac:dyDescent="0.25">
      <c r="A31" s="3" t="s">
        <v>75</v>
      </c>
      <c r="B31">
        <v>9</v>
      </c>
    </row>
    <row r="32" spans="1:9" x14ac:dyDescent="0.25">
      <c r="A32" s="3" t="s">
        <v>39</v>
      </c>
      <c r="B32">
        <v>24</v>
      </c>
    </row>
    <row r="33" spans="1:2" x14ac:dyDescent="0.25">
      <c r="A33" s="3" t="s">
        <v>148</v>
      </c>
      <c r="B33">
        <v>53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58C7A-EAC0-4EC0-BFF0-5BA2A4B5F40C}">
  <sheetPr codeName="Planilha2"/>
  <dimension ref="A3:D36"/>
  <sheetViews>
    <sheetView topLeftCell="A16" zoomScale="120" zoomScaleNormal="120" workbookViewId="0">
      <selection activeCell="A24" sqref="A24"/>
    </sheetView>
  </sheetViews>
  <sheetFormatPr defaultRowHeight="15" x14ac:dyDescent="0.25"/>
  <cols>
    <col min="1" max="1" width="35" bestFit="1" customWidth="1"/>
    <col min="2" max="2" width="54.140625" bestFit="1" customWidth="1"/>
    <col min="3" max="3" width="14.28515625" bestFit="1" customWidth="1"/>
  </cols>
  <sheetData>
    <row r="3" spans="1:2" x14ac:dyDescent="0.25">
      <c r="A3" s="2" t="s">
        <v>147</v>
      </c>
      <c r="B3" t="s">
        <v>157</v>
      </c>
    </row>
    <row r="4" spans="1:2" x14ac:dyDescent="0.25">
      <c r="A4" s="3" t="s">
        <v>95</v>
      </c>
      <c r="B4">
        <v>4</v>
      </c>
    </row>
    <row r="5" spans="1:2" x14ac:dyDescent="0.25">
      <c r="A5" s="3" t="s">
        <v>50</v>
      </c>
      <c r="B5">
        <v>5</v>
      </c>
    </row>
    <row r="6" spans="1:2" x14ac:dyDescent="0.25">
      <c r="A6" s="3" t="s">
        <v>127</v>
      </c>
      <c r="B6">
        <v>15</v>
      </c>
    </row>
    <row r="7" spans="1:2" x14ac:dyDescent="0.25">
      <c r="A7" s="3" t="s">
        <v>148</v>
      </c>
      <c r="B7">
        <v>24</v>
      </c>
    </row>
    <row r="9" spans="1:2" x14ac:dyDescent="0.25">
      <c r="A9" s="2" t="s">
        <v>147</v>
      </c>
      <c r="B9" t="s">
        <v>158</v>
      </c>
    </row>
    <row r="10" spans="1:2" x14ac:dyDescent="0.25">
      <c r="A10" s="3" t="s">
        <v>80</v>
      </c>
      <c r="B10">
        <v>3</v>
      </c>
    </row>
    <row r="11" spans="1:2" x14ac:dyDescent="0.25">
      <c r="A11" s="3" t="s">
        <v>129</v>
      </c>
      <c r="B11">
        <v>19</v>
      </c>
    </row>
    <row r="12" spans="1:2" x14ac:dyDescent="0.25">
      <c r="A12" s="3" t="s">
        <v>52</v>
      </c>
      <c r="B12">
        <v>2</v>
      </c>
    </row>
    <row r="13" spans="1:2" x14ac:dyDescent="0.25">
      <c r="A13" s="3" t="s">
        <v>148</v>
      </c>
      <c r="B13">
        <v>24</v>
      </c>
    </row>
    <row r="15" spans="1:2" x14ac:dyDescent="0.25">
      <c r="A15" s="2" t="s">
        <v>147</v>
      </c>
      <c r="B15" t="s">
        <v>159</v>
      </c>
    </row>
    <row r="16" spans="1:2" x14ac:dyDescent="0.25">
      <c r="A16" s="3" t="s">
        <v>96</v>
      </c>
      <c r="B16">
        <v>1</v>
      </c>
    </row>
    <row r="17" spans="1:4" x14ac:dyDescent="0.25">
      <c r="A17" s="3" t="s">
        <v>51</v>
      </c>
      <c r="B17">
        <v>6</v>
      </c>
    </row>
    <row r="18" spans="1:4" x14ac:dyDescent="0.25">
      <c r="A18" s="3" t="s">
        <v>133</v>
      </c>
      <c r="B18">
        <v>15</v>
      </c>
    </row>
    <row r="19" spans="1:4" x14ac:dyDescent="0.25">
      <c r="A19" s="3" t="s">
        <v>128</v>
      </c>
      <c r="B19">
        <v>2</v>
      </c>
    </row>
    <row r="20" spans="1:4" x14ac:dyDescent="0.25">
      <c r="A20" s="3" t="s">
        <v>148</v>
      </c>
      <c r="B20">
        <v>24</v>
      </c>
    </row>
    <row r="22" spans="1:4" x14ac:dyDescent="0.25">
      <c r="A22" s="2" t="s">
        <v>147</v>
      </c>
      <c r="B22" t="s">
        <v>160</v>
      </c>
    </row>
    <row r="23" spans="1:4" x14ac:dyDescent="0.25">
      <c r="A23" s="3" t="s">
        <v>126</v>
      </c>
      <c r="B23">
        <v>24</v>
      </c>
    </row>
    <row r="24" spans="1:4" x14ac:dyDescent="0.25">
      <c r="A24" s="3" t="s">
        <v>148</v>
      </c>
      <c r="B24">
        <v>24</v>
      </c>
    </row>
    <row r="30" spans="1:4" x14ac:dyDescent="0.25">
      <c r="C30" t="s">
        <v>155</v>
      </c>
      <c r="D30" t="s">
        <v>161</v>
      </c>
    </row>
    <row r="31" spans="1:4" x14ac:dyDescent="0.25">
      <c r="A31" s="12" t="s">
        <v>96</v>
      </c>
      <c r="B31" s="5">
        <v>4</v>
      </c>
      <c r="C31" s="14">
        <f>B31/$B$35</f>
        <v>7.5471698113207544E-2</v>
      </c>
      <c r="D31" s="15">
        <f>1-C31</f>
        <v>0.92452830188679247</v>
      </c>
    </row>
    <row r="32" spans="1:4" x14ac:dyDescent="0.25">
      <c r="A32" s="12" t="s">
        <v>51</v>
      </c>
      <c r="B32" s="5">
        <v>22</v>
      </c>
      <c r="C32" s="14">
        <f t="shared" ref="C32:C34" si="0">B32/$B$35</f>
        <v>0.41509433962264153</v>
      </c>
      <c r="D32" s="15">
        <f t="shared" ref="D32:D34" si="1">1-C32</f>
        <v>0.58490566037735847</v>
      </c>
    </row>
    <row r="33" spans="1:4" x14ac:dyDescent="0.25">
      <c r="A33" s="12" t="s">
        <v>133</v>
      </c>
      <c r="B33" s="5">
        <v>22</v>
      </c>
      <c r="C33" s="14">
        <f t="shared" si="0"/>
        <v>0.41509433962264153</v>
      </c>
      <c r="D33" s="15">
        <f t="shared" si="1"/>
        <v>0.58490566037735847</v>
      </c>
    </row>
    <row r="34" spans="1:4" x14ac:dyDescent="0.25">
      <c r="A34" s="12" t="s">
        <v>128</v>
      </c>
      <c r="B34" s="5">
        <v>5</v>
      </c>
      <c r="C34" s="14">
        <f t="shared" si="0"/>
        <v>9.4339622641509441E-2</v>
      </c>
      <c r="D34" s="15">
        <f t="shared" si="1"/>
        <v>0.90566037735849059</v>
      </c>
    </row>
    <row r="35" spans="1:4" x14ac:dyDescent="0.25">
      <c r="A35" s="11"/>
      <c r="B35" s="13">
        <f>SUM(B31:B34)</f>
        <v>53</v>
      </c>
      <c r="C35" s="10"/>
      <c r="D35" s="10"/>
    </row>
    <row r="36" spans="1:4" x14ac:dyDescent="0.25">
      <c r="A36" s="11"/>
      <c r="B36" s="11"/>
      <c r="C36" s="10"/>
      <c r="D36" s="1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03A7A-89B4-4B3C-ABC4-16B99A26B0F7}">
  <sheetPr codeName="Planilha3"/>
  <dimension ref="A3:G60"/>
  <sheetViews>
    <sheetView topLeftCell="A22" zoomScale="140" zoomScaleNormal="140" workbookViewId="0">
      <selection activeCell="B12" sqref="B12"/>
    </sheetView>
  </sheetViews>
  <sheetFormatPr defaultRowHeight="15" x14ac:dyDescent="0.25"/>
  <cols>
    <col min="1" max="1" width="18" bestFit="1" customWidth="1"/>
    <col min="2" max="2" width="151.5703125" bestFit="1" customWidth="1"/>
    <col min="4" max="4" width="21.42578125" customWidth="1"/>
    <col min="5" max="5" width="17.42578125" customWidth="1"/>
  </cols>
  <sheetData>
    <row r="3" spans="1:2" x14ac:dyDescent="0.25">
      <c r="A3" s="2" t="s">
        <v>147</v>
      </c>
      <c r="B3" t="s">
        <v>162</v>
      </c>
    </row>
    <row r="4" spans="1:2" x14ac:dyDescent="0.25">
      <c r="A4" s="3" t="s">
        <v>78</v>
      </c>
      <c r="B4">
        <v>5</v>
      </c>
    </row>
    <row r="5" spans="1:2" x14ac:dyDescent="0.25">
      <c r="A5" s="3" t="s">
        <v>111</v>
      </c>
      <c r="B5">
        <v>30</v>
      </c>
    </row>
    <row r="6" spans="1:2" x14ac:dyDescent="0.25">
      <c r="A6" s="3" t="s">
        <v>45</v>
      </c>
      <c r="B6">
        <v>14</v>
      </c>
    </row>
    <row r="7" spans="1:2" x14ac:dyDescent="0.25">
      <c r="A7" s="3" t="s">
        <v>89</v>
      </c>
      <c r="B7">
        <v>4</v>
      </c>
    </row>
    <row r="8" spans="1:2" x14ac:dyDescent="0.25">
      <c r="A8" s="3" t="s">
        <v>148</v>
      </c>
      <c r="B8">
        <v>53</v>
      </c>
    </row>
    <row r="10" spans="1:2" x14ac:dyDescent="0.25">
      <c r="A10" s="2" t="s">
        <v>147</v>
      </c>
      <c r="B10" t="s">
        <v>163</v>
      </c>
    </row>
    <row r="11" spans="1:2" x14ac:dyDescent="0.25">
      <c r="A11" s="3" t="s">
        <v>138</v>
      </c>
      <c r="B11">
        <v>2</v>
      </c>
    </row>
    <row r="12" spans="1:2" x14ac:dyDescent="0.25">
      <c r="A12" s="3" t="s">
        <v>53</v>
      </c>
      <c r="B12">
        <v>45</v>
      </c>
    </row>
    <row r="13" spans="1:2" x14ac:dyDescent="0.25">
      <c r="A13" s="3" t="s">
        <v>81</v>
      </c>
      <c r="B13">
        <v>6</v>
      </c>
    </row>
    <row r="14" spans="1:2" x14ac:dyDescent="0.25">
      <c r="A14" s="3" t="s">
        <v>148</v>
      </c>
      <c r="B14">
        <v>53</v>
      </c>
    </row>
    <row r="16" spans="1:2" x14ac:dyDescent="0.25">
      <c r="A16" s="2" t="s">
        <v>147</v>
      </c>
      <c r="B16" t="s">
        <v>164</v>
      </c>
    </row>
    <row r="17" spans="1:6" x14ac:dyDescent="0.25">
      <c r="A17" s="3" t="s">
        <v>54</v>
      </c>
      <c r="B17">
        <v>13</v>
      </c>
    </row>
    <row r="18" spans="1:6" x14ac:dyDescent="0.25">
      <c r="A18" s="3" t="s">
        <v>121</v>
      </c>
      <c r="B18">
        <v>24</v>
      </c>
    </row>
    <row r="19" spans="1:6" x14ac:dyDescent="0.25">
      <c r="A19" s="3" t="s">
        <v>70</v>
      </c>
      <c r="B19">
        <v>16</v>
      </c>
    </row>
    <row r="20" spans="1:6" x14ac:dyDescent="0.25">
      <c r="A20" s="3" t="s">
        <v>148</v>
      </c>
      <c r="B20">
        <v>53</v>
      </c>
    </row>
    <row r="22" spans="1:6" x14ac:dyDescent="0.25">
      <c r="A22" s="2" t="s">
        <v>147</v>
      </c>
      <c r="B22" t="s">
        <v>165</v>
      </c>
    </row>
    <row r="23" spans="1:6" x14ac:dyDescent="0.25">
      <c r="A23" s="3" t="s">
        <v>134</v>
      </c>
      <c r="B23">
        <v>22</v>
      </c>
    </row>
    <row r="24" spans="1:6" x14ac:dyDescent="0.25">
      <c r="A24" s="3" t="s">
        <v>82</v>
      </c>
      <c r="B24">
        <v>4</v>
      </c>
    </row>
    <row r="25" spans="1:6" x14ac:dyDescent="0.25">
      <c r="A25" s="3" t="s">
        <v>55</v>
      </c>
      <c r="B25">
        <v>27</v>
      </c>
    </row>
    <row r="26" spans="1:6" x14ac:dyDescent="0.25">
      <c r="A26" s="3" t="s">
        <v>148</v>
      </c>
      <c r="B26">
        <v>53</v>
      </c>
    </row>
    <row r="28" spans="1:6" x14ac:dyDescent="0.25">
      <c r="A28" s="2" t="s">
        <v>147</v>
      </c>
      <c r="B28" t="s">
        <v>166</v>
      </c>
      <c r="F28" t="s">
        <v>155</v>
      </c>
    </row>
    <row r="29" spans="1:6" x14ac:dyDescent="0.25">
      <c r="A29" s="3" t="s">
        <v>56</v>
      </c>
      <c r="B29">
        <v>9</v>
      </c>
      <c r="D29" s="3" t="s">
        <v>56</v>
      </c>
      <c r="E29">
        <v>9</v>
      </c>
      <c r="F29" s="20">
        <f>E29/$E$32</f>
        <v>0.16981132075471697</v>
      </c>
    </row>
    <row r="30" spans="1:6" x14ac:dyDescent="0.25">
      <c r="A30" s="3" t="s">
        <v>101</v>
      </c>
      <c r="B30">
        <v>31</v>
      </c>
      <c r="D30" s="3" t="s">
        <v>101</v>
      </c>
      <c r="E30">
        <v>31</v>
      </c>
      <c r="F30" s="20">
        <f t="shared" ref="F30:F31" si="0">E30/$E$32</f>
        <v>0.58490566037735847</v>
      </c>
    </row>
    <row r="31" spans="1:6" x14ac:dyDescent="0.25">
      <c r="A31" s="3" t="s">
        <v>71</v>
      </c>
      <c r="B31">
        <v>13</v>
      </c>
      <c r="D31" s="3" t="s">
        <v>71</v>
      </c>
      <c r="E31">
        <v>13</v>
      </c>
      <c r="F31" s="20">
        <f t="shared" si="0"/>
        <v>0.24528301886792453</v>
      </c>
    </row>
    <row r="32" spans="1:6" x14ac:dyDescent="0.25">
      <c r="A32" s="3" t="s">
        <v>148</v>
      </c>
      <c r="B32">
        <v>53</v>
      </c>
      <c r="D32" s="16" t="s">
        <v>148</v>
      </c>
      <c r="E32" s="17">
        <v>53</v>
      </c>
    </row>
    <row r="34" spans="1:7" x14ac:dyDescent="0.25">
      <c r="A34" s="2" t="s">
        <v>147</v>
      </c>
      <c r="B34" t="s">
        <v>167</v>
      </c>
    </row>
    <row r="35" spans="1:7" x14ac:dyDescent="0.25">
      <c r="A35" s="3" t="s">
        <v>91</v>
      </c>
      <c r="B35">
        <v>2</v>
      </c>
    </row>
    <row r="36" spans="1:7" x14ac:dyDescent="0.25">
      <c r="A36" s="3" t="s">
        <v>57</v>
      </c>
      <c r="B36">
        <v>17</v>
      </c>
    </row>
    <row r="37" spans="1:7" x14ac:dyDescent="0.25">
      <c r="A37" s="3" t="s">
        <v>83</v>
      </c>
      <c r="B37">
        <v>34</v>
      </c>
    </row>
    <row r="38" spans="1:7" x14ac:dyDescent="0.25">
      <c r="A38" s="3" t="s">
        <v>148</v>
      </c>
      <c r="B38">
        <v>53</v>
      </c>
    </row>
    <row r="40" spans="1:7" x14ac:dyDescent="0.25">
      <c r="A40" s="2" t="s">
        <v>147</v>
      </c>
      <c r="B40" t="s">
        <v>168</v>
      </c>
      <c r="F40" t="s">
        <v>155</v>
      </c>
    </row>
    <row r="41" spans="1:7" x14ac:dyDescent="0.25">
      <c r="A41" s="3" t="s">
        <v>84</v>
      </c>
      <c r="B41">
        <v>15</v>
      </c>
      <c r="D41" s="12" t="s">
        <v>84</v>
      </c>
      <c r="E41" s="5">
        <v>15</v>
      </c>
      <c r="F41" s="7">
        <f>E41/$E$43</f>
        <v>0.28301886792452829</v>
      </c>
    </row>
    <row r="42" spans="1:7" x14ac:dyDescent="0.25">
      <c r="A42" s="3" t="s">
        <v>58</v>
      </c>
      <c r="B42">
        <v>38</v>
      </c>
      <c r="D42" s="12" t="s">
        <v>58</v>
      </c>
      <c r="E42" s="5">
        <v>38</v>
      </c>
      <c r="F42" s="7">
        <f>E42/$E$43</f>
        <v>0.71698113207547165</v>
      </c>
    </row>
    <row r="43" spans="1:7" x14ac:dyDescent="0.25">
      <c r="A43" s="3" t="s">
        <v>148</v>
      </c>
      <c r="B43">
        <v>53</v>
      </c>
      <c r="D43" s="18" t="s">
        <v>148</v>
      </c>
      <c r="E43" s="19">
        <v>53</v>
      </c>
      <c r="F43" s="5"/>
    </row>
    <row r="45" spans="1:7" x14ac:dyDescent="0.25">
      <c r="A45" s="2" t="s">
        <v>147</v>
      </c>
      <c r="B45" t="s">
        <v>169</v>
      </c>
      <c r="D45" s="5" t="s">
        <v>172</v>
      </c>
      <c r="E45" s="5" t="s">
        <v>173</v>
      </c>
      <c r="F45" s="5" t="s">
        <v>155</v>
      </c>
      <c r="G45" s="5" t="s">
        <v>156</v>
      </c>
    </row>
    <row r="46" spans="1:7" x14ac:dyDescent="0.25">
      <c r="A46" s="3" t="s">
        <v>59</v>
      </c>
      <c r="B46">
        <v>19</v>
      </c>
      <c r="D46" s="12" t="s">
        <v>59</v>
      </c>
      <c r="E46" s="5">
        <v>19</v>
      </c>
      <c r="F46" s="7">
        <f>E46/E49</f>
        <v>0.35849056603773582</v>
      </c>
      <c r="G46" s="8">
        <f>1-F46</f>
        <v>0.64150943396226423</v>
      </c>
    </row>
    <row r="47" spans="1:7" x14ac:dyDescent="0.25">
      <c r="A47" s="3" t="s">
        <v>102</v>
      </c>
      <c r="B47">
        <v>11</v>
      </c>
      <c r="D47" s="12" t="s">
        <v>102</v>
      </c>
      <c r="E47" s="5">
        <v>11</v>
      </c>
      <c r="F47" s="7">
        <f>E47/E49</f>
        <v>0.20754716981132076</v>
      </c>
      <c r="G47" s="8">
        <f t="shared" ref="G47:G48" si="1">1-F47</f>
        <v>0.79245283018867929</v>
      </c>
    </row>
    <row r="48" spans="1:7" x14ac:dyDescent="0.25">
      <c r="A48" s="3" t="s">
        <v>72</v>
      </c>
      <c r="B48">
        <v>23</v>
      </c>
      <c r="D48" s="12" t="s">
        <v>174</v>
      </c>
      <c r="E48" s="5">
        <v>23</v>
      </c>
      <c r="F48" s="7">
        <f>E48/E49</f>
        <v>0.43396226415094341</v>
      </c>
      <c r="G48" s="8">
        <f t="shared" si="1"/>
        <v>0.56603773584905659</v>
      </c>
    </row>
    <row r="49" spans="1:7" x14ac:dyDescent="0.25">
      <c r="A49" s="3" t="s">
        <v>148</v>
      </c>
      <c r="B49">
        <v>53</v>
      </c>
      <c r="D49" s="18" t="s">
        <v>148</v>
      </c>
      <c r="E49" s="19">
        <v>53</v>
      </c>
      <c r="F49" s="5"/>
      <c r="G49" s="5"/>
    </row>
    <row r="51" spans="1:7" x14ac:dyDescent="0.25">
      <c r="A51" s="2" t="s">
        <v>147</v>
      </c>
      <c r="B51" t="s">
        <v>170</v>
      </c>
    </row>
    <row r="52" spans="1:7" x14ac:dyDescent="0.25">
      <c r="A52" s="3" t="s">
        <v>103</v>
      </c>
      <c r="B52">
        <v>15</v>
      </c>
    </row>
    <row r="53" spans="1:7" x14ac:dyDescent="0.25">
      <c r="A53" s="3" t="s">
        <v>85</v>
      </c>
      <c r="B53">
        <v>7</v>
      </c>
    </row>
    <row r="54" spans="1:7" x14ac:dyDescent="0.25">
      <c r="A54" s="3" t="s">
        <v>60</v>
      </c>
      <c r="B54">
        <v>31</v>
      </c>
    </row>
    <row r="55" spans="1:7" x14ac:dyDescent="0.25">
      <c r="A55" s="3" t="s">
        <v>148</v>
      </c>
      <c r="B55">
        <v>53</v>
      </c>
    </row>
    <row r="57" spans="1:7" x14ac:dyDescent="0.25">
      <c r="A57" s="2" t="s">
        <v>147</v>
      </c>
      <c r="B57" t="s">
        <v>171</v>
      </c>
    </row>
    <row r="58" spans="1:7" x14ac:dyDescent="0.25">
      <c r="A58" s="3" t="s">
        <v>61</v>
      </c>
      <c r="B58">
        <v>12</v>
      </c>
    </row>
    <row r="59" spans="1:7" x14ac:dyDescent="0.25">
      <c r="A59" s="3" t="s">
        <v>86</v>
      </c>
      <c r="B59">
        <v>41</v>
      </c>
    </row>
    <row r="60" spans="1:7" x14ac:dyDescent="0.25">
      <c r="A60" s="3" t="s">
        <v>148</v>
      </c>
      <c r="B60">
        <v>53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64EA1-16C7-45EA-BD6E-1B7CBFD5FA47}">
  <sheetPr codeName="Planilha4"/>
  <dimension ref="A3:B63"/>
  <sheetViews>
    <sheetView topLeftCell="A39" workbookViewId="0">
      <selection activeCell="I45" sqref="I45"/>
    </sheetView>
  </sheetViews>
  <sheetFormatPr defaultRowHeight="15" x14ac:dyDescent="0.25"/>
  <cols>
    <col min="1" max="1" width="41.28515625" bestFit="1" customWidth="1"/>
    <col min="2" max="2" width="39.5703125" bestFit="1" customWidth="1"/>
  </cols>
  <sheetData>
    <row r="3" spans="1:2" x14ac:dyDescent="0.25">
      <c r="A3" s="2" t="s">
        <v>147</v>
      </c>
      <c r="B3" t="s">
        <v>175</v>
      </c>
    </row>
    <row r="4" spans="1:2" x14ac:dyDescent="0.25">
      <c r="A4" s="3" t="s">
        <v>99</v>
      </c>
      <c r="B4">
        <v>6</v>
      </c>
    </row>
    <row r="5" spans="1:2" x14ac:dyDescent="0.25">
      <c r="A5" s="3" t="s">
        <v>41</v>
      </c>
      <c r="B5">
        <v>17</v>
      </c>
    </row>
    <row r="6" spans="1:2" x14ac:dyDescent="0.25">
      <c r="A6" s="3" t="s">
        <v>109</v>
      </c>
      <c r="B6">
        <v>5</v>
      </c>
    </row>
    <row r="7" spans="1:2" x14ac:dyDescent="0.25">
      <c r="A7" s="3" t="s">
        <v>148</v>
      </c>
      <c r="B7">
        <v>28</v>
      </c>
    </row>
    <row r="9" spans="1:2" x14ac:dyDescent="0.25">
      <c r="A9" s="2" t="s">
        <v>147</v>
      </c>
      <c r="B9" t="s">
        <v>176</v>
      </c>
    </row>
    <row r="10" spans="1:2" x14ac:dyDescent="0.25">
      <c r="A10" s="3" t="s">
        <v>119</v>
      </c>
      <c r="B10">
        <v>7</v>
      </c>
    </row>
    <row r="11" spans="1:2" x14ac:dyDescent="0.25">
      <c r="A11" s="3" t="s">
        <v>124</v>
      </c>
      <c r="B11">
        <v>2</v>
      </c>
    </row>
    <row r="12" spans="1:2" x14ac:dyDescent="0.25">
      <c r="A12" s="3" t="s">
        <v>42</v>
      </c>
      <c r="B12">
        <v>19</v>
      </c>
    </row>
    <row r="13" spans="1:2" x14ac:dyDescent="0.25">
      <c r="A13" s="3" t="s">
        <v>148</v>
      </c>
      <c r="B13">
        <v>28</v>
      </c>
    </row>
    <row r="15" spans="1:2" x14ac:dyDescent="0.25">
      <c r="A15" s="2" t="s">
        <v>147</v>
      </c>
      <c r="B15" t="s">
        <v>177</v>
      </c>
    </row>
    <row r="16" spans="1:2" x14ac:dyDescent="0.25">
      <c r="A16" s="3" t="s">
        <v>43</v>
      </c>
      <c r="B16">
        <v>11</v>
      </c>
    </row>
    <row r="17" spans="1:2" x14ac:dyDescent="0.25">
      <c r="A17" s="3" t="s">
        <v>77</v>
      </c>
      <c r="B17">
        <v>11</v>
      </c>
    </row>
    <row r="18" spans="1:2" x14ac:dyDescent="0.25">
      <c r="A18" s="3" t="s">
        <v>136</v>
      </c>
      <c r="B18">
        <v>1</v>
      </c>
    </row>
    <row r="19" spans="1:2" x14ac:dyDescent="0.25">
      <c r="A19" s="3" t="s">
        <v>110</v>
      </c>
      <c r="B19">
        <v>5</v>
      </c>
    </row>
    <row r="20" spans="1:2" x14ac:dyDescent="0.25">
      <c r="A20" s="3" t="s">
        <v>148</v>
      </c>
      <c r="B20">
        <v>28</v>
      </c>
    </row>
    <row r="22" spans="1:2" x14ac:dyDescent="0.25">
      <c r="A22" s="2" t="s">
        <v>147</v>
      </c>
      <c r="B22" t="s">
        <v>178</v>
      </c>
    </row>
    <row r="23" spans="1:2" x14ac:dyDescent="0.25">
      <c r="A23" s="3" t="s">
        <v>145</v>
      </c>
      <c r="B23">
        <v>1</v>
      </c>
    </row>
    <row r="24" spans="1:2" x14ac:dyDescent="0.25">
      <c r="A24" s="3" t="s">
        <v>141</v>
      </c>
      <c r="B24">
        <v>1</v>
      </c>
    </row>
    <row r="25" spans="1:2" x14ac:dyDescent="0.25">
      <c r="A25" s="3" t="s">
        <v>137</v>
      </c>
      <c r="B25">
        <v>1</v>
      </c>
    </row>
    <row r="26" spans="1:2" x14ac:dyDescent="0.25">
      <c r="A26" s="3" t="s">
        <v>44</v>
      </c>
      <c r="B26">
        <v>25</v>
      </c>
    </row>
    <row r="27" spans="1:2" x14ac:dyDescent="0.25">
      <c r="A27" s="3" t="s">
        <v>148</v>
      </c>
      <c r="B27">
        <v>28</v>
      </c>
    </row>
    <row r="29" spans="1:2" x14ac:dyDescent="0.25">
      <c r="A29" s="2" t="s">
        <v>147</v>
      </c>
      <c r="B29" t="s">
        <v>179</v>
      </c>
    </row>
    <row r="30" spans="1:2" x14ac:dyDescent="0.25">
      <c r="A30" s="3" t="s">
        <v>125</v>
      </c>
      <c r="B30">
        <v>5</v>
      </c>
    </row>
    <row r="31" spans="1:2" x14ac:dyDescent="0.25">
      <c r="A31" s="3" t="s">
        <v>46</v>
      </c>
      <c r="B31">
        <v>9</v>
      </c>
    </row>
    <row r="32" spans="1:2" x14ac:dyDescent="0.25">
      <c r="A32" s="3" t="s">
        <v>90</v>
      </c>
      <c r="B32">
        <v>14</v>
      </c>
    </row>
    <row r="33" spans="1:2" x14ac:dyDescent="0.25">
      <c r="A33" s="3" t="s">
        <v>148</v>
      </c>
      <c r="B33">
        <v>28</v>
      </c>
    </row>
    <row r="36" spans="1:2" x14ac:dyDescent="0.25">
      <c r="A36" s="2" t="s">
        <v>147</v>
      </c>
      <c r="B36" t="s">
        <v>180</v>
      </c>
    </row>
    <row r="37" spans="1:2" x14ac:dyDescent="0.25">
      <c r="A37" s="3" t="s">
        <v>112</v>
      </c>
      <c r="B37">
        <v>5</v>
      </c>
    </row>
    <row r="38" spans="1:2" x14ac:dyDescent="0.25">
      <c r="A38" s="3" t="s">
        <v>120</v>
      </c>
      <c r="B38">
        <v>5</v>
      </c>
    </row>
    <row r="39" spans="1:2" x14ac:dyDescent="0.25">
      <c r="A39" s="3" t="s">
        <v>48</v>
      </c>
      <c r="B39">
        <v>18</v>
      </c>
    </row>
    <row r="40" spans="1:2" x14ac:dyDescent="0.25">
      <c r="A40" s="3" t="s">
        <v>148</v>
      </c>
      <c r="B40">
        <v>28</v>
      </c>
    </row>
    <row r="42" spans="1:2" x14ac:dyDescent="0.25">
      <c r="A42" s="2" t="s">
        <v>147</v>
      </c>
      <c r="B42" t="s">
        <v>181</v>
      </c>
    </row>
    <row r="43" spans="1:2" x14ac:dyDescent="0.25">
      <c r="A43" s="3" t="s">
        <v>49</v>
      </c>
      <c r="B43">
        <v>27</v>
      </c>
    </row>
    <row r="44" spans="1:2" x14ac:dyDescent="0.25">
      <c r="A44" s="3" t="s">
        <v>143</v>
      </c>
      <c r="B44">
        <v>1</v>
      </c>
    </row>
    <row r="45" spans="1:2" x14ac:dyDescent="0.25">
      <c r="A45" s="3" t="s">
        <v>148</v>
      </c>
      <c r="B45">
        <v>28</v>
      </c>
    </row>
    <row r="47" spans="1:2" x14ac:dyDescent="0.25">
      <c r="A47" s="2" t="s">
        <v>147</v>
      </c>
      <c r="B47" t="s">
        <v>182</v>
      </c>
    </row>
    <row r="48" spans="1:2" x14ac:dyDescent="0.25">
      <c r="A48" s="3" t="s">
        <v>105</v>
      </c>
      <c r="B48">
        <v>1</v>
      </c>
    </row>
    <row r="49" spans="1:2" x14ac:dyDescent="0.25">
      <c r="A49" s="3" t="s">
        <v>64</v>
      </c>
      <c r="B49">
        <v>27</v>
      </c>
    </row>
    <row r="50" spans="1:2" x14ac:dyDescent="0.25">
      <c r="A50" s="3" t="s">
        <v>148</v>
      </c>
      <c r="B50">
        <v>28</v>
      </c>
    </row>
    <row r="53" spans="1:2" x14ac:dyDescent="0.25">
      <c r="A53" s="2" t="s">
        <v>147</v>
      </c>
      <c r="B53" t="s">
        <v>183</v>
      </c>
    </row>
    <row r="54" spans="1:2" x14ac:dyDescent="0.25">
      <c r="A54" s="3" t="s">
        <v>63</v>
      </c>
      <c r="B54">
        <v>28</v>
      </c>
    </row>
    <row r="55" spans="1:2" x14ac:dyDescent="0.25">
      <c r="A55" s="3" t="s">
        <v>148</v>
      </c>
      <c r="B55">
        <v>28</v>
      </c>
    </row>
    <row r="58" spans="1:2" x14ac:dyDescent="0.25">
      <c r="A58" s="2" t="s">
        <v>147</v>
      </c>
      <c r="B58" t="s">
        <v>184</v>
      </c>
    </row>
    <row r="59" spans="1:2" x14ac:dyDescent="0.25">
      <c r="A59" s="3" t="s">
        <v>135</v>
      </c>
      <c r="B59">
        <v>4</v>
      </c>
    </row>
    <row r="60" spans="1:2" x14ac:dyDescent="0.25">
      <c r="A60" s="3" t="s">
        <v>113</v>
      </c>
      <c r="B60">
        <v>5</v>
      </c>
    </row>
    <row r="61" spans="1:2" x14ac:dyDescent="0.25">
      <c r="A61" s="3" t="s">
        <v>62</v>
      </c>
      <c r="B61">
        <v>18</v>
      </c>
    </row>
    <row r="62" spans="1:2" x14ac:dyDescent="0.25">
      <c r="A62" s="3" t="s">
        <v>130</v>
      </c>
      <c r="B62">
        <v>1</v>
      </c>
    </row>
    <row r="63" spans="1:2" x14ac:dyDescent="0.25">
      <c r="A63" s="3" t="s">
        <v>148</v>
      </c>
      <c r="B63">
        <v>28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6148-7194-47DE-8CDA-2FE6B84BFC7A}">
  <sheetPr codeName="Planilha9"/>
  <dimension ref="A1:AI54"/>
  <sheetViews>
    <sheetView topLeftCell="A2" zoomScale="130" zoomScaleNormal="130" workbookViewId="0">
      <selection activeCell="D16" sqref="D16"/>
    </sheetView>
  </sheetViews>
  <sheetFormatPr defaultRowHeight="15" x14ac:dyDescent="0.25"/>
  <cols>
    <col min="1" max="1" width="18.85546875" bestFit="1" customWidth="1"/>
    <col min="2" max="2" width="25.28515625" bestFit="1" customWidth="1"/>
    <col min="3" max="3" width="27" bestFit="1" customWidth="1"/>
    <col min="4" max="4" width="34.42578125" bestFit="1" customWidth="1"/>
    <col min="5" max="5" width="35.140625" bestFit="1" customWidth="1"/>
    <col min="6" max="6" width="46.140625" bestFit="1" customWidth="1"/>
    <col min="7" max="7" width="71.85546875" bestFit="1" customWidth="1"/>
    <col min="8" max="9" width="88.140625" bestFit="1" customWidth="1"/>
    <col min="10" max="10" width="108.85546875" bestFit="1" customWidth="1"/>
    <col min="11" max="11" width="38.7109375" bestFit="1" customWidth="1"/>
    <col min="12" max="12" width="46.42578125" bestFit="1" customWidth="1"/>
    <col min="13" max="13" width="111.140625" bestFit="1" customWidth="1"/>
    <col min="14" max="14" width="109.42578125" bestFit="1" customWidth="1"/>
    <col min="15" max="15" width="57.28515625" bestFit="1" customWidth="1"/>
    <col min="16" max="16" width="49.85546875" bestFit="1" customWidth="1"/>
    <col min="17" max="17" width="43" bestFit="1" customWidth="1"/>
    <col min="18" max="18" width="32.28515625" bestFit="1" customWidth="1"/>
    <col min="19" max="19" width="57.28515625" bestFit="1" customWidth="1"/>
    <col min="20" max="20" width="55.42578125" bestFit="1" customWidth="1"/>
    <col min="21" max="21" width="46.28515625" bestFit="1" customWidth="1"/>
    <col min="22" max="22" width="57" bestFit="1" customWidth="1"/>
    <col min="23" max="23" width="63.7109375" bestFit="1" customWidth="1"/>
    <col min="24" max="24" width="39" bestFit="1" customWidth="1"/>
    <col min="25" max="25" width="54.5703125" bestFit="1" customWidth="1"/>
    <col min="26" max="26" width="31.42578125" bestFit="1" customWidth="1"/>
    <col min="27" max="27" width="141.28515625" bestFit="1" customWidth="1"/>
    <col min="28" max="28" width="41.28515625" bestFit="1" customWidth="1"/>
    <col min="29" max="29" width="35.140625" bestFit="1" customWidth="1"/>
    <col min="30" max="30" width="32.5703125" bestFit="1" customWidth="1"/>
    <col min="31" max="31" width="42.42578125" bestFit="1" customWidth="1"/>
    <col min="32" max="32" width="43.140625" bestFit="1" customWidth="1"/>
    <col min="33" max="33" width="42.5703125" bestFit="1" customWidth="1"/>
    <col min="34" max="34" width="89.7109375" bestFit="1" customWidth="1"/>
    <col min="35" max="35" width="71.285156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</row>
    <row r="2" spans="1:35" x14ac:dyDescent="0.25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 t="s">
        <v>41</v>
      </c>
      <c r="H2" t="s">
        <v>42</v>
      </c>
      <c r="I2" t="s">
        <v>43</v>
      </c>
      <c r="J2" t="s">
        <v>44</v>
      </c>
      <c r="K2" t="s">
        <v>45</v>
      </c>
      <c r="L2" t="s">
        <v>46</v>
      </c>
      <c r="M2" t="s">
        <v>47</v>
      </c>
      <c r="N2" t="s">
        <v>48</v>
      </c>
      <c r="O2" t="s">
        <v>49</v>
      </c>
      <c r="P2" t="s">
        <v>50</v>
      </c>
      <c r="Q2" t="s">
        <v>51</v>
      </c>
      <c r="R2" t="s">
        <v>52</v>
      </c>
      <c r="S2" t="s">
        <v>53</v>
      </c>
      <c r="T2" t="s">
        <v>54</v>
      </c>
      <c r="U2" t="s">
        <v>55</v>
      </c>
      <c r="V2" t="s">
        <v>56</v>
      </c>
      <c r="W2" t="s">
        <v>57</v>
      </c>
      <c r="X2" t="s">
        <v>58</v>
      </c>
      <c r="Y2" t="s">
        <v>59</v>
      </c>
      <c r="Z2" t="s">
        <v>60</v>
      </c>
      <c r="AA2" t="s">
        <v>61</v>
      </c>
      <c r="AB2" t="s">
        <v>62</v>
      </c>
      <c r="AC2" t="s">
        <v>63</v>
      </c>
      <c r="AD2" t="s">
        <v>64</v>
      </c>
      <c r="AE2" t="s">
        <v>65</v>
      </c>
      <c r="AF2" t="s">
        <v>66</v>
      </c>
      <c r="AG2" t="s">
        <v>67</v>
      </c>
      <c r="AH2" t="s">
        <v>68</v>
      </c>
      <c r="AI2" t="s">
        <v>69</v>
      </c>
    </row>
    <row r="3" spans="1:35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70</v>
      </c>
      <c r="U3" t="s">
        <v>55</v>
      </c>
      <c r="V3" t="s">
        <v>71</v>
      </c>
      <c r="W3" t="s">
        <v>57</v>
      </c>
      <c r="X3" t="s">
        <v>58</v>
      </c>
      <c r="Y3" t="s">
        <v>72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</row>
    <row r="4" spans="1:35" x14ac:dyDescent="0.25">
      <c r="A4" t="s">
        <v>35</v>
      </c>
      <c r="B4" t="s">
        <v>73</v>
      </c>
      <c r="C4" t="s">
        <v>74</v>
      </c>
      <c r="D4" t="s">
        <v>38</v>
      </c>
      <c r="E4" s="1" t="s">
        <v>75</v>
      </c>
      <c r="F4" t="s">
        <v>76</v>
      </c>
      <c r="G4" t="s">
        <v>41</v>
      </c>
      <c r="H4" t="s">
        <v>42</v>
      </c>
      <c r="I4" t="s">
        <v>77</v>
      </c>
      <c r="J4" t="s">
        <v>44</v>
      </c>
      <c r="K4" t="s">
        <v>78</v>
      </c>
      <c r="L4" t="s">
        <v>46</v>
      </c>
      <c r="M4" t="s">
        <v>79</v>
      </c>
      <c r="N4" t="s">
        <v>48</v>
      </c>
      <c r="O4" t="s">
        <v>49</v>
      </c>
      <c r="P4" t="s">
        <v>50</v>
      </c>
      <c r="Q4" t="s">
        <v>51</v>
      </c>
      <c r="R4" t="s">
        <v>80</v>
      </c>
      <c r="S4" t="s">
        <v>81</v>
      </c>
      <c r="T4" t="s">
        <v>70</v>
      </c>
      <c r="U4" t="s">
        <v>82</v>
      </c>
      <c r="V4" t="s">
        <v>56</v>
      </c>
      <c r="W4" t="s">
        <v>83</v>
      </c>
      <c r="X4" t="s">
        <v>84</v>
      </c>
      <c r="Y4" t="s">
        <v>59</v>
      </c>
      <c r="Z4" t="s">
        <v>85</v>
      </c>
      <c r="AA4" t="s">
        <v>86</v>
      </c>
      <c r="AB4" t="s">
        <v>62</v>
      </c>
      <c r="AC4" t="s">
        <v>63</v>
      </c>
      <c r="AD4" t="s">
        <v>64</v>
      </c>
      <c r="AE4" t="s">
        <v>87</v>
      </c>
      <c r="AF4" t="s">
        <v>66</v>
      </c>
      <c r="AG4" t="s">
        <v>67</v>
      </c>
      <c r="AH4" t="s">
        <v>68</v>
      </c>
      <c r="AI4" t="s">
        <v>69</v>
      </c>
    </row>
    <row r="5" spans="1:35" x14ac:dyDescent="0.25">
      <c r="A5" t="s">
        <v>35</v>
      </c>
      <c r="B5" t="s">
        <v>73</v>
      </c>
      <c r="C5" t="s">
        <v>88</v>
      </c>
      <c r="D5" t="s">
        <v>38</v>
      </c>
      <c r="E5" s="1" t="s">
        <v>75</v>
      </c>
      <c r="F5" t="s">
        <v>76</v>
      </c>
      <c r="G5" t="s">
        <v>41</v>
      </c>
      <c r="H5" t="s">
        <v>42</v>
      </c>
      <c r="I5" t="s">
        <v>43</v>
      </c>
      <c r="J5" t="s">
        <v>44</v>
      </c>
      <c r="K5" t="s">
        <v>89</v>
      </c>
      <c r="L5" t="s">
        <v>90</v>
      </c>
      <c r="M5" t="s">
        <v>79</v>
      </c>
      <c r="N5" t="s">
        <v>48</v>
      </c>
      <c r="O5" t="s">
        <v>49</v>
      </c>
      <c r="P5" t="s">
        <v>50</v>
      </c>
      <c r="Q5" t="s">
        <v>51</v>
      </c>
      <c r="R5" t="s">
        <v>52</v>
      </c>
      <c r="S5" t="s">
        <v>81</v>
      </c>
      <c r="T5" t="s">
        <v>70</v>
      </c>
      <c r="U5" t="s">
        <v>55</v>
      </c>
      <c r="V5" t="s">
        <v>56</v>
      </c>
      <c r="W5" t="s">
        <v>91</v>
      </c>
      <c r="X5" t="s">
        <v>84</v>
      </c>
      <c r="Y5" t="s">
        <v>72</v>
      </c>
      <c r="Z5" t="s">
        <v>85</v>
      </c>
      <c r="AA5" t="s">
        <v>61</v>
      </c>
      <c r="AB5" t="s">
        <v>62</v>
      </c>
      <c r="AC5" t="s">
        <v>63</v>
      </c>
      <c r="AD5" t="s">
        <v>64</v>
      </c>
      <c r="AE5" t="s">
        <v>87</v>
      </c>
      <c r="AF5" t="s">
        <v>92</v>
      </c>
      <c r="AG5" t="s">
        <v>67</v>
      </c>
      <c r="AH5" t="s">
        <v>68</v>
      </c>
      <c r="AI5" t="s">
        <v>69</v>
      </c>
    </row>
    <row r="6" spans="1:35" x14ac:dyDescent="0.25">
      <c r="A6" t="s">
        <v>93</v>
      </c>
      <c r="B6" t="s">
        <v>73</v>
      </c>
      <c r="C6" t="s">
        <v>74</v>
      </c>
      <c r="D6" t="s">
        <v>38</v>
      </c>
      <c r="E6" s="1" t="s">
        <v>94</v>
      </c>
      <c r="F6" t="s">
        <v>76</v>
      </c>
      <c r="G6" t="s">
        <v>41</v>
      </c>
      <c r="H6" t="s">
        <v>42</v>
      </c>
      <c r="I6" t="s">
        <v>43</v>
      </c>
      <c r="J6" t="s">
        <v>44</v>
      </c>
      <c r="K6" t="s">
        <v>45</v>
      </c>
      <c r="L6" t="s">
        <v>90</v>
      </c>
      <c r="M6" t="s">
        <v>79</v>
      </c>
      <c r="N6" t="s">
        <v>48</v>
      </c>
      <c r="O6" t="s">
        <v>49</v>
      </c>
      <c r="P6" t="s">
        <v>95</v>
      </c>
      <c r="Q6" t="s">
        <v>96</v>
      </c>
      <c r="R6" t="s">
        <v>80</v>
      </c>
      <c r="S6" t="s">
        <v>53</v>
      </c>
      <c r="T6" t="s">
        <v>70</v>
      </c>
      <c r="U6" t="s">
        <v>55</v>
      </c>
      <c r="V6" t="s">
        <v>71</v>
      </c>
      <c r="W6" t="s">
        <v>57</v>
      </c>
      <c r="X6" t="s">
        <v>58</v>
      </c>
      <c r="Y6" t="s">
        <v>59</v>
      </c>
      <c r="Z6" t="s">
        <v>60</v>
      </c>
      <c r="AA6" t="s">
        <v>86</v>
      </c>
      <c r="AB6" t="s">
        <v>62</v>
      </c>
      <c r="AC6" t="s">
        <v>63</v>
      </c>
      <c r="AD6" t="s">
        <v>64</v>
      </c>
      <c r="AE6" t="s">
        <v>87</v>
      </c>
      <c r="AF6" t="s">
        <v>66</v>
      </c>
      <c r="AG6" t="s">
        <v>97</v>
      </c>
      <c r="AH6" t="s">
        <v>68</v>
      </c>
      <c r="AI6" t="s">
        <v>69</v>
      </c>
    </row>
    <row r="7" spans="1:35" x14ac:dyDescent="0.25">
      <c r="A7" t="s">
        <v>93</v>
      </c>
      <c r="B7" t="s">
        <v>98</v>
      </c>
      <c r="C7" t="s">
        <v>88</v>
      </c>
      <c r="D7" t="s">
        <v>38</v>
      </c>
      <c r="E7" t="s">
        <v>39</v>
      </c>
      <c r="F7" t="s">
        <v>40</v>
      </c>
      <c r="G7" t="s">
        <v>99</v>
      </c>
      <c r="H7" t="s">
        <v>42</v>
      </c>
      <c r="I7" t="s">
        <v>77</v>
      </c>
      <c r="J7" t="s">
        <v>44</v>
      </c>
      <c r="K7" t="s">
        <v>45</v>
      </c>
      <c r="L7" t="s">
        <v>46</v>
      </c>
      <c r="M7" t="s">
        <v>100</v>
      </c>
      <c r="N7" t="s">
        <v>48</v>
      </c>
      <c r="O7" t="s">
        <v>49</v>
      </c>
      <c r="P7" t="s">
        <v>50</v>
      </c>
      <c r="Q7" t="s">
        <v>51</v>
      </c>
      <c r="R7" t="s">
        <v>80</v>
      </c>
      <c r="S7" t="s">
        <v>53</v>
      </c>
      <c r="T7" t="s">
        <v>54</v>
      </c>
      <c r="U7" t="s">
        <v>55</v>
      </c>
      <c r="V7" t="s">
        <v>101</v>
      </c>
      <c r="W7" t="s">
        <v>83</v>
      </c>
      <c r="X7" t="s">
        <v>84</v>
      </c>
      <c r="Y7" t="s">
        <v>102</v>
      </c>
      <c r="Z7" t="s">
        <v>103</v>
      </c>
      <c r="AA7" t="s">
        <v>86</v>
      </c>
      <c r="AB7" t="s">
        <v>62</v>
      </c>
      <c r="AC7" t="s">
        <v>104</v>
      </c>
      <c r="AD7" t="s">
        <v>105</v>
      </c>
      <c r="AE7" t="s">
        <v>87</v>
      </c>
      <c r="AF7" t="s">
        <v>92</v>
      </c>
      <c r="AG7" t="s">
        <v>97</v>
      </c>
      <c r="AH7" t="s">
        <v>68</v>
      </c>
      <c r="AI7" t="s">
        <v>106</v>
      </c>
    </row>
    <row r="8" spans="1:35" x14ac:dyDescent="0.25">
      <c r="A8" t="s">
        <v>35</v>
      </c>
      <c r="B8" t="s">
        <v>36</v>
      </c>
      <c r="C8" t="s">
        <v>107</v>
      </c>
      <c r="D8" t="s">
        <v>108</v>
      </c>
      <c r="E8" s="1" t="s">
        <v>94</v>
      </c>
      <c r="F8" t="s">
        <v>40</v>
      </c>
      <c r="G8" t="s">
        <v>109</v>
      </c>
      <c r="H8" t="s">
        <v>42</v>
      </c>
      <c r="I8" t="s">
        <v>110</v>
      </c>
      <c r="J8" t="s">
        <v>44</v>
      </c>
      <c r="K8" t="s">
        <v>111</v>
      </c>
      <c r="L8" t="s">
        <v>90</v>
      </c>
      <c r="M8" t="s">
        <v>100</v>
      </c>
      <c r="N8" t="s">
        <v>112</v>
      </c>
      <c r="O8" t="s">
        <v>49</v>
      </c>
      <c r="P8" t="s">
        <v>95</v>
      </c>
      <c r="Q8" t="s">
        <v>96</v>
      </c>
      <c r="R8" t="s">
        <v>80</v>
      </c>
      <c r="S8" t="s">
        <v>53</v>
      </c>
      <c r="T8" t="s">
        <v>54</v>
      </c>
      <c r="U8" t="s">
        <v>55</v>
      </c>
      <c r="V8" t="s">
        <v>56</v>
      </c>
      <c r="W8" t="s">
        <v>83</v>
      </c>
      <c r="X8" t="s">
        <v>84</v>
      </c>
      <c r="Y8" t="s">
        <v>102</v>
      </c>
      <c r="Z8" t="s">
        <v>60</v>
      </c>
      <c r="AA8" t="s">
        <v>86</v>
      </c>
      <c r="AB8" t="s">
        <v>113</v>
      </c>
      <c r="AC8" t="s">
        <v>63</v>
      </c>
      <c r="AD8" t="s">
        <v>105</v>
      </c>
      <c r="AE8" t="s">
        <v>65</v>
      </c>
      <c r="AF8" t="s">
        <v>114</v>
      </c>
      <c r="AG8" t="s">
        <v>97</v>
      </c>
      <c r="AH8" t="s">
        <v>115</v>
      </c>
      <c r="AI8" t="s">
        <v>116</v>
      </c>
    </row>
    <row r="9" spans="1:35" x14ac:dyDescent="0.25">
      <c r="A9" t="s">
        <v>35</v>
      </c>
      <c r="B9" t="s">
        <v>117</v>
      </c>
      <c r="C9" t="s">
        <v>88</v>
      </c>
      <c r="D9" t="s">
        <v>38</v>
      </c>
      <c r="E9" s="1" t="s">
        <v>118</v>
      </c>
      <c r="F9" t="s">
        <v>76</v>
      </c>
      <c r="G9" t="s">
        <v>41</v>
      </c>
      <c r="H9" t="s">
        <v>119</v>
      </c>
      <c r="I9" t="s">
        <v>110</v>
      </c>
      <c r="J9" t="s">
        <v>44</v>
      </c>
      <c r="K9" t="s">
        <v>45</v>
      </c>
      <c r="L9" t="s">
        <v>90</v>
      </c>
      <c r="M9" t="s">
        <v>100</v>
      </c>
      <c r="N9" t="s">
        <v>120</v>
      </c>
      <c r="O9" t="s">
        <v>49</v>
      </c>
      <c r="P9" t="s">
        <v>50</v>
      </c>
      <c r="Q9" t="s">
        <v>51</v>
      </c>
      <c r="R9" t="s">
        <v>52</v>
      </c>
      <c r="S9" t="s">
        <v>53</v>
      </c>
      <c r="T9" t="s">
        <v>121</v>
      </c>
      <c r="U9" t="s">
        <v>55</v>
      </c>
      <c r="V9" t="s">
        <v>71</v>
      </c>
      <c r="W9" t="s">
        <v>57</v>
      </c>
      <c r="X9" t="s">
        <v>58</v>
      </c>
      <c r="Y9" t="s">
        <v>72</v>
      </c>
      <c r="Z9" t="s">
        <v>60</v>
      </c>
      <c r="AA9" t="s">
        <v>86</v>
      </c>
      <c r="AB9" t="s">
        <v>113</v>
      </c>
      <c r="AC9" t="s">
        <v>63</v>
      </c>
      <c r="AD9" t="s">
        <v>64</v>
      </c>
      <c r="AE9" t="s">
        <v>87</v>
      </c>
      <c r="AF9" t="s">
        <v>66</v>
      </c>
      <c r="AG9" t="s">
        <v>97</v>
      </c>
      <c r="AH9" t="s">
        <v>68</v>
      </c>
      <c r="AI9" t="s">
        <v>106</v>
      </c>
    </row>
    <row r="10" spans="1:35" x14ac:dyDescent="0.25">
      <c r="A10" t="s">
        <v>93</v>
      </c>
      <c r="B10" t="s">
        <v>73</v>
      </c>
      <c r="C10" t="s">
        <v>107</v>
      </c>
      <c r="D10" t="s">
        <v>122</v>
      </c>
      <c r="E10" s="1" t="s">
        <v>123</v>
      </c>
      <c r="F10" t="s">
        <v>40</v>
      </c>
      <c r="G10" t="s">
        <v>99</v>
      </c>
      <c r="H10" t="s">
        <v>124</v>
      </c>
      <c r="I10" t="s">
        <v>77</v>
      </c>
      <c r="J10" t="s">
        <v>44</v>
      </c>
      <c r="K10" t="s">
        <v>111</v>
      </c>
      <c r="L10" t="s">
        <v>125</v>
      </c>
      <c r="M10" t="s">
        <v>126</v>
      </c>
      <c r="N10" t="s">
        <v>120</v>
      </c>
      <c r="O10" t="s">
        <v>49</v>
      </c>
      <c r="P10" t="s">
        <v>127</v>
      </c>
      <c r="Q10" t="s">
        <v>128</v>
      </c>
      <c r="R10" t="s">
        <v>129</v>
      </c>
      <c r="S10" t="s">
        <v>53</v>
      </c>
      <c r="T10" t="s">
        <v>121</v>
      </c>
      <c r="U10" t="s">
        <v>55</v>
      </c>
      <c r="V10" t="s">
        <v>101</v>
      </c>
      <c r="W10" t="s">
        <v>57</v>
      </c>
      <c r="X10" t="s">
        <v>84</v>
      </c>
      <c r="Y10" t="s">
        <v>59</v>
      </c>
      <c r="Z10" t="s">
        <v>103</v>
      </c>
      <c r="AA10" t="s">
        <v>86</v>
      </c>
      <c r="AB10" t="s">
        <v>130</v>
      </c>
      <c r="AC10" t="s">
        <v>104</v>
      </c>
      <c r="AD10" t="s">
        <v>64</v>
      </c>
      <c r="AE10" t="s">
        <v>87</v>
      </c>
      <c r="AF10" t="s">
        <v>66</v>
      </c>
      <c r="AG10" t="s">
        <v>131</v>
      </c>
      <c r="AH10" t="s">
        <v>68</v>
      </c>
      <c r="AI10" t="s">
        <v>106</v>
      </c>
    </row>
    <row r="11" spans="1:35" x14ac:dyDescent="0.25">
      <c r="A11" t="s">
        <v>35</v>
      </c>
      <c r="B11" t="s">
        <v>117</v>
      </c>
      <c r="C11" t="s">
        <v>107</v>
      </c>
      <c r="D11" t="s">
        <v>122</v>
      </c>
      <c r="E11" s="1" t="s">
        <v>94</v>
      </c>
      <c r="F11" t="s">
        <v>76</v>
      </c>
      <c r="G11" t="s">
        <v>41</v>
      </c>
      <c r="H11" t="s">
        <v>119</v>
      </c>
      <c r="I11" t="s">
        <v>43</v>
      </c>
      <c r="J11" t="s">
        <v>44</v>
      </c>
      <c r="K11" t="s">
        <v>45</v>
      </c>
      <c r="L11" t="s">
        <v>132</v>
      </c>
      <c r="M11" t="s">
        <v>126</v>
      </c>
      <c r="N11" t="s">
        <v>48</v>
      </c>
      <c r="O11" t="s">
        <v>49</v>
      </c>
      <c r="P11" t="s">
        <v>50</v>
      </c>
      <c r="Q11" t="s">
        <v>128</v>
      </c>
      <c r="R11" t="s">
        <v>129</v>
      </c>
      <c r="S11" t="s">
        <v>53</v>
      </c>
      <c r="T11" t="s">
        <v>70</v>
      </c>
      <c r="U11" t="s">
        <v>55</v>
      </c>
      <c r="V11" t="s">
        <v>101</v>
      </c>
      <c r="W11" t="s">
        <v>83</v>
      </c>
      <c r="X11" t="s">
        <v>84</v>
      </c>
      <c r="Y11" t="s">
        <v>59</v>
      </c>
      <c r="Z11" t="s">
        <v>103</v>
      </c>
      <c r="AA11" t="s">
        <v>86</v>
      </c>
      <c r="AB11" t="s">
        <v>62</v>
      </c>
      <c r="AC11" t="s">
        <v>104</v>
      </c>
      <c r="AD11" t="s">
        <v>105</v>
      </c>
      <c r="AE11" t="s">
        <v>65</v>
      </c>
      <c r="AF11" t="s">
        <v>66</v>
      </c>
      <c r="AG11" t="s">
        <v>97</v>
      </c>
      <c r="AH11" t="s">
        <v>68</v>
      </c>
      <c r="AI11" t="s">
        <v>69</v>
      </c>
    </row>
    <row r="12" spans="1:35" x14ac:dyDescent="0.25">
      <c r="A12" t="s">
        <v>35</v>
      </c>
      <c r="B12" t="s">
        <v>98</v>
      </c>
      <c r="C12" t="s">
        <v>74</v>
      </c>
      <c r="D12" t="s">
        <v>122</v>
      </c>
      <c r="E12" s="1" t="s">
        <v>118</v>
      </c>
      <c r="F12" t="s">
        <v>76</v>
      </c>
      <c r="G12" t="s">
        <v>41</v>
      </c>
      <c r="H12" t="s">
        <v>119</v>
      </c>
      <c r="I12" t="s">
        <v>43</v>
      </c>
      <c r="J12" t="s">
        <v>44</v>
      </c>
      <c r="K12" t="s">
        <v>111</v>
      </c>
      <c r="L12" t="s">
        <v>125</v>
      </c>
      <c r="M12" t="s">
        <v>79</v>
      </c>
      <c r="N12" t="s">
        <v>48</v>
      </c>
      <c r="O12" t="s">
        <v>49</v>
      </c>
      <c r="P12" t="s">
        <v>50</v>
      </c>
      <c r="Q12" t="s">
        <v>133</v>
      </c>
      <c r="R12" t="s">
        <v>52</v>
      </c>
      <c r="S12" t="s">
        <v>81</v>
      </c>
      <c r="T12" t="s">
        <v>54</v>
      </c>
      <c r="U12" t="s">
        <v>134</v>
      </c>
      <c r="V12" t="s">
        <v>101</v>
      </c>
      <c r="W12" t="s">
        <v>83</v>
      </c>
      <c r="X12" t="s">
        <v>58</v>
      </c>
      <c r="Y12" t="s">
        <v>72</v>
      </c>
      <c r="Z12" t="s">
        <v>103</v>
      </c>
      <c r="AA12" t="s">
        <v>86</v>
      </c>
      <c r="AB12" t="s">
        <v>135</v>
      </c>
      <c r="AC12" t="s">
        <v>63</v>
      </c>
      <c r="AD12" t="s">
        <v>64</v>
      </c>
      <c r="AE12" t="s">
        <v>87</v>
      </c>
      <c r="AF12" t="s">
        <v>66</v>
      </c>
      <c r="AG12" t="s">
        <v>97</v>
      </c>
      <c r="AH12" t="s">
        <v>68</v>
      </c>
      <c r="AI12" t="s">
        <v>69</v>
      </c>
    </row>
    <row r="13" spans="1:35" x14ac:dyDescent="0.25">
      <c r="A13" t="s">
        <v>93</v>
      </c>
      <c r="B13" t="s">
        <v>36</v>
      </c>
      <c r="C13" t="s">
        <v>37</v>
      </c>
      <c r="D13" t="s">
        <v>38</v>
      </c>
      <c r="E13" s="1" t="s">
        <v>123</v>
      </c>
      <c r="F13" t="s">
        <v>40</v>
      </c>
      <c r="G13" t="s">
        <v>99</v>
      </c>
      <c r="H13" t="s">
        <v>124</v>
      </c>
      <c r="I13" t="s">
        <v>77</v>
      </c>
      <c r="J13" t="s">
        <v>44</v>
      </c>
      <c r="K13" t="s">
        <v>111</v>
      </c>
      <c r="L13" t="s">
        <v>90</v>
      </c>
      <c r="M13" t="s">
        <v>100</v>
      </c>
      <c r="N13" t="s">
        <v>120</v>
      </c>
      <c r="O13" t="s">
        <v>49</v>
      </c>
      <c r="P13" t="s">
        <v>95</v>
      </c>
      <c r="Q13" t="s">
        <v>51</v>
      </c>
      <c r="R13" t="s">
        <v>80</v>
      </c>
      <c r="S13" t="s">
        <v>53</v>
      </c>
      <c r="T13" t="s">
        <v>54</v>
      </c>
      <c r="U13" t="s">
        <v>55</v>
      </c>
      <c r="V13" t="s">
        <v>71</v>
      </c>
      <c r="W13" t="s">
        <v>83</v>
      </c>
      <c r="X13" t="s">
        <v>84</v>
      </c>
      <c r="Y13" t="s">
        <v>72</v>
      </c>
      <c r="Z13" t="s">
        <v>60</v>
      </c>
      <c r="AA13" t="s">
        <v>86</v>
      </c>
      <c r="AB13" t="s">
        <v>62</v>
      </c>
      <c r="AC13" t="s">
        <v>63</v>
      </c>
      <c r="AD13" t="s">
        <v>64</v>
      </c>
      <c r="AE13" t="s">
        <v>87</v>
      </c>
      <c r="AF13" t="s">
        <v>66</v>
      </c>
      <c r="AG13" t="s">
        <v>131</v>
      </c>
      <c r="AH13" t="s">
        <v>68</v>
      </c>
      <c r="AI13" t="s">
        <v>116</v>
      </c>
    </row>
    <row r="14" spans="1:35" x14ac:dyDescent="0.25">
      <c r="A14" t="s">
        <v>35</v>
      </c>
      <c r="B14" t="s">
        <v>36</v>
      </c>
      <c r="C14" t="s">
        <v>37</v>
      </c>
      <c r="D14" t="s">
        <v>38</v>
      </c>
      <c r="E14" t="s">
        <v>39</v>
      </c>
      <c r="F14" t="s">
        <v>40</v>
      </c>
      <c r="G14" t="s">
        <v>109</v>
      </c>
      <c r="H14" t="s">
        <v>119</v>
      </c>
      <c r="I14" t="s">
        <v>136</v>
      </c>
      <c r="J14" t="s">
        <v>137</v>
      </c>
      <c r="K14" t="s">
        <v>111</v>
      </c>
      <c r="L14" t="s">
        <v>46</v>
      </c>
      <c r="M14" t="s">
        <v>79</v>
      </c>
      <c r="N14" t="s">
        <v>120</v>
      </c>
      <c r="O14" t="s">
        <v>49</v>
      </c>
      <c r="P14" t="s">
        <v>95</v>
      </c>
      <c r="Q14" t="s">
        <v>96</v>
      </c>
      <c r="R14" t="s">
        <v>52</v>
      </c>
      <c r="S14" t="s">
        <v>81</v>
      </c>
      <c r="T14" t="s">
        <v>70</v>
      </c>
      <c r="U14" t="s">
        <v>82</v>
      </c>
      <c r="V14" t="s">
        <v>56</v>
      </c>
      <c r="W14" t="s">
        <v>57</v>
      </c>
      <c r="X14" t="s">
        <v>58</v>
      </c>
      <c r="Y14" t="s">
        <v>59</v>
      </c>
      <c r="Z14" t="s">
        <v>60</v>
      </c>
      <c r="AA14" t="s">
        <v>86</v>
      </c>
      <c r="AB14" t="s">
        <v>62</v>
      </c>
      <c r="AC14" t="s">
        <v>104</v>
      </c>
      <c r="AD14" t="s">
        <v>64</v>
      </c>
      <c r="AE14" t="s">
        <v>65</v>
      </c>
      <c r="AF14" t="s">
        <v>114</v>
      </c>
      <c r="AG14" t="s">
        <v>131</v>
      </c>
      <c r="AH14" t="s">
        <v>68</v>
      </c>
      <c r="AI14" t="s">
        <v>106</v>
      </c>
    </row>
    <row r="15" spans="1:35" x14ac:dyDescent="0.25">
      <c r="A15" t="s">
        <v>93</v>
      </c>
      <c r="B15" t="s">
        <v>117</v>
      </c>
      <c r="C15" t="s">
        <v>107</v>
      </c>
      <c r="D15" t="s">
        <v>38</v>
      </c>
      <c r="E15" s="1" t="s">
        <v>94</v>
      </c>
      <c r="F15" t="s">
        <v>76</v>
      </c>
      <c r="G15" t="s">
        <v>41</v>
      </c>
      <c r="H15" t="s">
        <v>119</v>
      </c>
      <c r="I15" t="s">
        <v>110</v>
      </c>
      <c r="J15" t="s">
        <v>137</v>
      </c>
      <c r="K15" t="s">
        <v>111</v>
      </c>
      <c r="L15" t="s">
        <v>125</v>
      </c>
      <c r="M15" t="s">
        <v>100</v>
      </c>
      <c r="N15" t="s">
        <v>120</v>
      </c>
      <c r="O15" t="s">
        <v>49</v>
      </c>
      <c r="P15" t="s">
        <v>50</v>
      </c>
      <c r="Q15" t="s">
        <v>128</v>
      </c>
      <c r="R15" t="s">
        <v>129</v>
      </c>
      <c r="S15" t="s">
        <v>138</v>
      </c>
      <c r="T15" t="s">
        <v>70</v>
      </c>
      <c r="U15" t="s">
        <v>55</v>
      </c>
      <c r="V15" t="s">
        <v>101</v>
      </c>
      <c r="W15" t="s">
        <v>57</v>
      </c>
      <c r="X15" t="s">
        <v>58</v>
      </c>
      <c r="Y15" t="s">
        <v>59</v>
      </c>
      <c r="Z15" t="s">
        <v>103</v>
      </c>
      <c r="AA15" t="s">
        <v>61</v>
      </c>
      <c r="AB15" t="s">
        <v>135</v>
      </c>
      <c r="AC15" t="s">
        <v>104</v>
      </c>
      <c r="AD15" t="s">
        <v>64</v>
      </c>
      <c r="AE15" t="s">
        <v>87</v>
      </c>
      <c r="AF15" t="s">
        <v>66</v>
      </c>
      <c r="AG15" t="s">
        <v>131</v>
      </c>
      <c r="AH15" t="s">
        <v>68</v>
      </c>
      <c r="AI15" t="s">
        <v>69</v>
      </c>
    </row>
    <row r="16" spans="1:35" x14ac:dyDescent="0.25">
      <c r="A16" t="s">
        <v>35</v>
      </c>
      <c r="B16" t="s">
        <v>98</v>
      </c>
      <c r="C16" t="s">
        <v>107</v>
      </c>
      <c r="D16" t="s">
        <v>108</v>
      </c>
      <c r="E16" s="1" t="s">
        <v>118</v>
      </c>
      <c r="F16" t="s">
        <v>76</v>
      </c>
      <c r="G16" t="s">
        <v>41</v>
      </c>
      <c r="H16" t="s">
        <v>42</v>
      </c>
      <c r="I16" t="s">
        <v>77</v>
      </c>
      <c r="J16" t="s">
        <v>44</v>
      </c>
      <c r="K16" t="s">
        <v>45</v>
      </c>
      <c r="L16" t="s">
        <v>90</v>
      </c>
      <c r="M16" t="s">
        <v>79</v>
      </c>
      <c r="N16" t="s">
        <v>48</v>
      </c>
      <c r="O16" t="s">
        <v>49</v>
      </c>
      <c r="P16" t="s">
        <v>50</v>
      </c>
      <c r="Q16" t="s">
        <v>51</v>
      </c>
      <c r="R16" t="s">
        <v>80</v>
      </c>
      <c r="S16" t="s">
        <v>53</v>
      </c>
      <c r="T16" t="s">
        <v>121</v>
      </c>
      <c r="U16" t="s">
        <v>55</v>
      </c>
      <c r="V16" t="s">
        <v>71</v>
      </c>
      <c r="W16" t="s">
        <v>57</v>
      </c>
      <c r="X16" t="s">
        <v>58</v>
      </c>
      <c r="Y16" t="s">
        <v>59</v>
      </c>
      <c r="Z16" t="s">
        <v>60</v>
      </c>
      <c r="AA16" t="s">
        <v>86</v>
      </c>
      <c r="AB16" t="s">
        <v>135</v>
      </c>
      <c r="AC16" t="s">
        <v>63</v>
      </c>
      <c r="AD16" t="s">
        <v>64</v>
      </c>
      <c r="AE16" t="s">
        <v>87</v>
      </c>
      <c r="AF16" t="s">
        <v>66</v>
      </c>
      <c r="AG16" t="s">
        <v>97</v>
      </c>
      <c r="AH16" t="s">
        <v>68</v>
      </c>
      <c r="AI16" t="s">
        <v>69</v>
      </c>
    </row>
    <row r="17" spans="1:35" x14ac:dyDescent="0.25">
      <c r="A17" t="s">
        <v>93</v>
      </c>
      <c r="B17" t="s">
        <v>73</v>
      </c>
      <c r="C17" t="s">
        <v>88</v>
      </c>
      <c r="D17" t="s">
        <v>38</v>
      </c>
      <c r="E17" s="1" t="s">
        <v>118</v>
      </c>
      <c r="F17" t="s">
        <v>76</v>
      </c>
      <c r="G17" t="s">
        <v>41</v>
      </c>
      <c r="H17" t="s">
        <v>42</v>
      </c>
      <c r="I17" t="s">
        <v>43</v>
      </c>
      <c r="J17" t="s">
        <v>44</v>
      </c>
      <c r="K17" t="s">
        <v>45</v>
      </c>
      <c r="L17" t="s">
        <v>46</v>
      </c>
      <c r="M17" t="s">
        <v>47</v>
      </c>
      <c r="N17" t="s">
        <v>112</v>
      </c>
      <c r="O17" t="s">
        <v>49</v>
      </c>
      <c r="P17" t="s">
        <v>95</v>
      </c>
      <c r="Q17" t="s">
        <v>133</v>
      </c>
      <c r="R17" t="s">
        <v>80</v>
      </c>
      <c r="S17" t="s">
        <v>53</v>
      </c>
      <c r="T17" t="s">
        <v>121</v>
      </c>
      <c r="U17" t="s">
        <v>55</v>
      </c>
      <c r="V17" t="s">
        <v>71</v>
      </c>
      <c r="W17" t="s">
        <v>57</v>
      </c>
      <c r="X17" t="s">
        <v>58</v>
      </c>
      <c r="Y17" t="s">
        <v>59</v>
      </c>
      <c r="Z17" t="s">
        <v>60</v>
      </c>
      <c r="AA17" t="s">
        <v>86</v>
      </c>
      <c r="AB17" t="s">
        <v>62</v>
      </c>
      <c r="AC17" t="s">
        <v>63</v>
      </c>
      <c r="AD17" t="s">
        <v>64</v>
      </c>
      <c r="AE17" t="s">
        <v>65</v>
      </c>
      <c r="AF17" t="s">
        <v>66</v>
      </c>
      <c r="AG17" t="s">
        <v>97</v>
      </c>
      <c r="AH17" t="s">
        <v>68</v>
      </c>
      <c r="AI17" t="s">
        <v>69</v>
      </c>
    </row>
    <row r="18" spans="1:35" x14ac:dyDescent="0.25">
      <c r="A18" t="s">
        <v>35</v>
      </c>
      <c r="B18" t="s">
        <v>117</v>
      </c>
      <c r="C18" t="s">
        <v>107</v>
      </c>
      <c r="D18" t="s">
        <v>108</v>
      </c>
      <c r="E18" t="s">
        <v>39</v>
      </c>
      <c r="F18" t="s">
        <v>76</v>
      </c>
      <c r="G18" t="s">
        <v>109</v>
      </c>
      <c r="H18" t="s">
        <v>119</v>
      </c>
      <c r="I18" t="s">
        <v>77</v>
      </c>
      <c r="J18" t="s">
        <v>44</v>
      </c>
      <c r="K18" t="s">
        <v>45</v>
      </c>
      <c r="L18" t="s">
        <v>46</v>
      </c>
      <c r="M18" t="s">
        <v>79</v>
      </c>
      <c r="N18" t="s">
        <v>48</v>
      </c>
      <c r="O18" t="s">
        <v>49</v>
      </c>
      <c r="P18" t="s">
        <v>50</v>
      </c>
      <c r="Q18" t="s">
        <v>51</v>
      </c>
      <c r="R18" t="s">
        <v>52</v>
      </c>
      <c r="S18" t="s">
        <v>53</v>
      </c>
      <c r="T18" t="s">
        <v>70</v>
      </c>
      <c r="U18" t="s">
        <v>55</v>
      </c>
      <c r="V18" t="s">
        <v>101</v>
      </c>
      <c r="W18" t="s">
        <v>83</v>
      </c>
      <c r="X18" t="s">
        <v>84</v>
      </c>
      <c r="Y18" t="s">
        <v>102</v>
      </c>
      <c r="Z18" t="s">
        <v>60</v>
      </c>
      <c r="AA18" t="s">
        <v>86</v>
      </c>
      <c r="AB18" t="s">
        <v>113</v>
      </c>
      <c r="AC18" t="s">
        <v>63</v>
      </c>
      <c r="AD18" t="s">
        <v>64</v>
      </c>
      <c r="AE18" t="s">
        <v>87</v>
      </c>
      <c r="AF18" t="s">
        <v>114</v>
      </c>
      <c r="AG18" t="s">
        <v>97</v>
      </c>
      <c r="AH18" t="s">
        <v>68</v>
      </c>
      <c r="AI18" t="s">
        <v>106</v>
      </c>
    </row>
    <row r="19" spans="1:35" x14ac:dyDescent="0.25">
      <c r="A19" t="s">
        <v>35</v>
      </c>
      <c r="B19" t="s">
        <v>98</v>
      </c>
      <c r="C19" t="s">
        <v>74</v>
      </c>
      <c r="D19" t="s">
        <v>122</v>
      </c>
      <c r="E19" s="1" t="s">
        <v>94</v>
      </c>
      <c r="F19" t="s">
        <v>76</v>
      </c>
      <c r="G19" t="s">
        <v>41</v>
      </c>
      <c r="H19" t="s">
        <v>42</v>
      </c>
      <c r="I19" t="s">
        <v>77</v>
      </c>
      <c r="J19" t="s">
        <v>44</v>
      </c>
      <c r="K19" t="s">
        <v>111</v>
      </c>
      <c r="L19" t="s">
        <v>90</v>
      </c>
      <c r="M19" t="s">
        <v>47</v>
      </c>
      <c r="N19" t="s">
        <v>48</v>
      </c>
      <c r="O19" t="s">
        <v>49</v>
      </c>
      <c r="P19" t="s">
        <v>50</v>
      </c>
      <c r="Q19" t="s">
        <v>133</v>
      </c>
      <c r="R19" t="s">
        <v>80</v>
      </c>
      <c r="S19" t="s">
        <v>53</v>
      </c>
      <c r="T19" t="s">
        <v>121</v>
      </c>
      <c r="U19" t="s">
        <v>55</v>
      </c>
      <c r="V19" t="s">
        <v>71</v>
      </c>
      <c r="W19" t="s">
        <v>83</v>
      </c>
      <c r="X19" t="s">
        <v>58</v>
      </c>
      <c r="Y19" t="s">
        <v>102</v>
      </c>
      <c r="Z19" t="s">
        <v>60</v>
      </c>
      <c r="AA19" t="s">
        <v>86</v>
      </c>
      <c r="AB19" t="s">
        <v>135</v>
      </c>
      <c r="AC19" t="s">
        <v>63</v>
      </c>
      <c r="AD19" t="s">
        <v>64</v>
      </c>
      <c r="AE19" t="s">
        <v>87</v>
      </c>
      <c r="AF19" t="s">
        <v>66</v>
      </c>
      <c r="AG19" t="s">
        <v>131</v>
      </c>
      <c r="AH19" t="s">
        <v>68</v>
      </c>
      <c r="AI19" t="s">
        <v>69</v>
      </c>
    </row>
    <row r="20" spans="1:35" x14ac:dyDescent="0.25">
      <c r="A20" t="s">
        <v>93</v>
      </c>
      <c r="B20" t="s">
        <v>73</v>
      </c>
      <c r="C20" t="s">
        <v>74</v>
      </c>
      <c r="D20" t="s">
        <v>38</v>
      </c>
      <c r="E20" s="1" t="s">
        <v>94</v>
      </c>
      <c r="F20" t="s">
        <v>40</v>
      </c>
      <c r="G20" t="s">
        <v>41</v>
      </c>
      <c r="H20" t="s">
        <v>119</v>
      </c>
      <c r="I20" t="s">
        <v>43</v>
      </c>
      <c r="J20" t="s">
        <v>44</v>
      </c>
      <c r="K20" t="s">
        <v>78</v>
      </c>
      <c r="L20" t="s">
        <v>90</v>
      </c>
      <c r="M20" t="s">
        <v>126</v>
      </c>
      <c r="N20" t="s">
        <v>48</v>
      </c>
      <c r="O20" t="s">
        <v>49</v>
      </c>
      <c r="P20" t="s">
        <v>95</v>
      </c>
      <c r="Q20" t="s">
        <v>51</v>
      </c>
      <c r="R20" t="s">
        <v>80</v>
      </c>
      <c r="S20" t="s">
        <v>53</v>
      </c>
      <c r="T20" t="s">
        <v>121</v>
      </c>
      <c r="U20" t="s">
        <v>55</v>
      </c>
      <c r="V20" t="s">
        <v>71</v>
      </c>
      <c r="W20" t="s">
        <v>57</v>
      </c>
      <c r="X20" t="s">
        <v>58</v>
      </c>
      <c r="Y20" t="s">
        <v>102</v>
      </c>
      <c r="Z20" t="s">
        <v>60</v>
      </c>
      <c r="AA20" t="s">
        <v>86</v>
      </c>
      <c r="AB20" t="s">
        <v>62</v>
      </c>
      <c r="AC20" t="s">
        <v>63</v>
      </c>
      <c r="AD20" t="s">
        <v>64</v>
      </c>
      <c r="AE20" t="s">
        <v>65</v>
      </c>
      <c r="AF20" t="s">
        <v>114</v>
      </c>
      <c r="AG20" t="s">
        <v>97</v>
      </c>
      <c r="AH20" t="s">
        <v>68</v>
      </c>
      <c r="AI20" t="s">
        <v>69</v>
      </c>
    </row>
    <row r="21" spans="1:35" x14ac:dyDescent="0.25">
      <c r="A21" t="s">
        <v>35</v>
      </c>
      <c r="B21" t="s">
        <v>73</v>
      </c>
      <c r="C21" t="s">
        <v>74</v>
      </c>
      <c r="D21" t="s">
        <v>38</v>
      </c>
      <c r="E21" s="1" t="s">
        <v>94</v>
      </c>
      <c r="F21" t="s">
        <v>76</v>
      </c>
      <c r="G21" t="s">
        <v>41</v>
      </c>
      <c r="H21" t="s">
        <v>42</v>
      </c>
      <c r="I21" t="s">
        <v>77</v>
      </c>
      <c r="J21" t="s">
        <v>44</v>
      </c>
      <c r="K21" t="s">
        <v>78</v>
      </c>
      <c r="L21" t="s">
        <v>90</v>
      </c>
      <c r="M21" t="s">
        <v>47</v>
      </c>
      <c r="N21" t="s">
        <v>48</v>
      </c>
      <c r="O21" t="s">
        <v>49</v>
      </c>
      <c r="P21" t="s">
        <v>95</v>
      </c>
      <c r="Q21" t="s">
        <v>51</v>
      </c>
      <c r="R21" t="s">
        <v>80</v>
      </c>
      <c r="S21" t="s">
        <v>53</v>
      </c>
      <c r="T21" t="s">
        <v>121</v>
      </c>
      <c r="U21" t="s">
        <v>55</v>
      </c>
      <c r="V21" t="s">
        <v>56</v>
      </c>
      <c r="W21" t="s">
        <v>83</v>
      </c>
      <c r="X21" t="s">
        <v>58</v>
      </c>
      <c r="Y21" t="s">
        <v>72</v>
      </c>
      <c r="Z21" t="s">
        <v>85</v>
      </c>
      <c r="AA21" t="s">
        <v>61</v>
      </c>
      <c r="AB21" t="s">
        <v>62</v>
      </c>
      <c r="AC21" t="s">
        <v>63</v>
      </c>
      <c r="AD21" t="s">
        <v>64</v>
      </c>
      <c r="AE21" t="s">
        <v>87</v>
      </c>
      <c r="AF21" t="s">
        <v>66</v>
      </c>
      <c r="AG21" t="s">
        <v>97</v>
      </c>
      <c r="AH21" t="s">
        <v>139</v>
      </c>
      <c r="AI21" t="s">
        <v>69</v>
      </c>
    </row>
    <row r="22" spans="1:35" x14ac:dyDescent="0.25">
      <c r="A22" t="s">
        <v>93</v>
      </c>
      <c r="B22" t="s">
        <v>73</v>
      </c>
      <c r="C22" t="s">
        <v>107</v>
      </c>
      <c r="D22" t="s">
        <v>122</v>
      </c>
      <c r="E22" s="1" t="s">
        <v>123</v>
      </c>
      <c r="F22" t="s">
        <v>76</v>
      </c>
      <c r="G22" t="s">
        <v>99</v>
      </c>
      <c r="H22" t="s">
        <v>42</v>
      </c>
      <c r="I22" t="s">
        <v>77</v>
      </c>
      <c r="J22" t="s">
        <v>44</v>
      </c>
      <c r="K22" t="s">
        <v>111</v>
      </c>
      <c r="L22" t="s">
        <v>125</v>
      </c>
      <c r="M22" t="s">
        <v>47</v>
      </c>
      <c r="N22" t="s">
        <v>48</v>
      </c>
      <c r="O22" t="s">
        <v>49</v>
      </c>
      <c r="P22" t="s">
        <v>50</v>
      </c>
      <c r="Q22" t="s">
        <v>51</v>
      </c>
      <c r="R22" t="s">
        <v>52</v>
      </c>
      <c r="S22" t="s">
        <v>53</v>
      </c>
      <c r="T22" t="s">
        <v>54</v>
      </c>
      <c r="U22" t="s">
        <v>134</v>
      </c>
      <c r="V22" t="s">
        <v>71</v>
      </c>
      <c r="W22" t="s">
        <v>57</v>
      </c>
      <c r="X22" t="s">
        <v>58</v>
      </c>
      <c r="Y22" t="s">
        <v>102</v>
      </c>
      <c r="Z22" t="s">
        <v>103</v>
      </c>
      <c r="AA22" t="s">
        <v>86</v>
      </c>
      <c r="AB22" t="s">
        <v>135</v>
      </c>
      <c r="AC22" t="s">
        <v>63</v>
      </c>
      <c r="AD22" t="s">
        <v>64</v>
      </c>
      <c r="AE22" t="s">
        <v>87</v>
      </c>
      <c r="AF22" t="s">
        <v>114</v>
      </c>
      <c r="AG22" t="s">
        <v>131</v>
      </c>
      <c r="AH22" t="s">
        <v>68</v>
      </c>
      <c r="AI22" t="s">
        <v>116</v>
      </c>
    </row>
    <row r="23" spans="1:35" x14ac:dyDescent="0.25">
      <c r="A23" t="s">
        <v>35</v>
      </c>
      <c r="B23" t="s">
        <v>73</v>
      </c>
      <c r="C23" t="s">
        <v>74</v>
      </c>
      <c r="D23" t="s">
        <v>38</v>
      </c>
      <c r="E23" s="1" t="s">
        <v>75</v>
      </c>
      <c r="F23" t="s">
        <v>40</v>
      </c>
      <c r="G23" t="s">
        <v>99</v>
      </c>
      <c r="H23" t="s">
        <v>42</v>
      </c>
      <c r="I23" t="s">
        <v>43</v>
      </c>
      <c r="J23" t="s">
        <v>44</v>
      </c>
      <c r="K23" t="s">
        <v>89</v>
      </c>
      <c r="L23" t="s">
        <v>46</v>
      </c>
      <c r="M23" t="s">
        <v>79</v>
      </c>
      <c r="N23" t="s">
        <v>48</v>
      </c>
      <c r="O23" t="s">
        <v>49</v>
      </c>
      <c r="P23" t="s">
        <v>50</v>
      </c>
      <c r="Q23" t="s">
        <v>133</v>
      </c>
      <c r="R23" t="s">
        <v>52</v>
      </c>
      <c r="S23" t="s">
        <v>53</v>
      </c>
      <c r="T23" t="s">
        <v>70</v>
      </c>
      <c r="U23" t="s">
        <v>55</v>
      </c>
      <c r="V23" t="s">
        <v>56</v>
      </c>
      <c r="W23" t="s">
        <v>83</v>
      </c>
      <c r="X23" t="s">
        <v>58</v>
      </c>
      <c r="Y23" t="s">
        <v>59</v>
      </c>
      <c r="Z23" t="s">
        <v>85</v>
      </c>
      <c r="AA23" t="s">
        <v>86</v>
      </c>
      <c r="AB23" t="s">
        <v>62</v>
      </c>
      <c r="AC23" t="s">
        <v>63</v>
      </c>
      <c r="AD23" t="s">
        <v>64</v>
      </c>
      <c r="AE23" t="s">
        <v>65</v>
      </c>
      <c r="AF23" t="s">
        <v>92</v>
      </c>
      <c r="AG23" t="s">
        <v>67</v>
      </c>
      <c r="AH23" t="s">
        <v>68</v>
      </c>
      <c r="AI23" t="s">
        <v>106</v>
      </c>
    </row>
    <row r="24" spans="1:35" x14ac:dyDescent="0.25">
      <c r="A24" t="s">
        <v>93</v>
      </c>
      <c r="B24" t="s">
        <v>98</v>
      </c>
      <c r="C24" t="s">
        <v>74</v>
      </c>
      <c r="D24" t="s">
        <v>38</v>
      </c>
      <c r="E24" s="1" t="s">
        <v>75</v>
      </c>
      <c r="F24" t="s">
        <v>40</v>
      </c>
      <c r="G24" t="s">
        <v>99</v>
      </c>
      <c r="H24" t="s">
        <v>119</v>
      </c>
      <c r="I24" t="s">
        <v>43</v>
      </c>
      <c r="J24" t="s">
        <v>44</v>
      </c>
      <c r="K24" t="s">
        <v>45</v>
      </c>
      <c r="L24" t="s">
        <v>90</v>
      </c>
      <c r="M24" t="s">
        <v>79</v>
      </c>
      <c r="N24" t="s">
        <v>48</v>
      </c>
      <c r="O24" t="s">
        <v>49</v>
      </c>
      <c r="P24" t="s">
        <v>50</v>
      </c>
      <c r="Q24" t="s">
        <v>51</v>
      </c>
      <c r="R24" t="s">
        <v>80</v>
      </c>
      <c r="S24" t="s">
        <v>53</v>
      </c>
      <c r="T24" t="s">
        <v>54</v>
      </c>
      <c r="U24" t="s">
        <v>82</v>
      </c>
      <c r="V24" t="s">
        <v>101</v>
      </c>
      <c r="W24" t="s">
        <v>83</v>
      </c>
      <c r="X24" t="s">
        <v>58</v>
      </c>
      <c r="Y24" t="s">
        <v>59</v>
      </c>
      <c r="Z24" t="s">
        <v>103</v>
      </c>
      <c r="AA24" t="s">
        <v>86</v>
      </c>
      <c r="AB24" t="s">
        <v>62</v>
      </c>
      <c r="AC24" t="s">
        <v>104</v>
      </c>
      <c r="AD24" t="s">
        <v>64</v>
      </c>
      <c r="AE24" t="s">
        <v>87</v>
      </c>
      <c r="AF24" t="s">
        <v>92</v>
      </c>
      <c r="AG24" t="s">
        <v>97</v>
      </c>
      <c r="AH24" t="s">
        <v>139</v>
      </c>
      <c r="AI24" t="s">
        <v>69</v>
      </c>
    </row>
    <row r="25" spans="1:35" x14ac:dyDescent="0.25">
      <c r="A25" t="s">
        <v>35</v>
      </c>
      <c r="B25" t="s">
        <v>36</v>
      </c>
      <c r="C25" t="s">
        <v>37</v>
      </c>
      <c r="D25" t="s">
        <v>108</v>
      </c>
      <c r="E25" s="1" t="s">
        <v>123</v>
      </c>
      <c r="F25" t="s">
        <v>40</v>
      </c>
      <c r="G25" t="s">
        <v>41</v>
      </c>
      <c r="H25" t="s">
        <v>42</v>
      </c>
      <c r="I25" t="s">
        <v>77</v>
      </c>
      <c r="J25" t="s">
        <v>44</v>
      </c>
      <c r="K25" t="s">
        <v>111</v>
      </c>
      <c r="L25" t="s">
        <v>125</v>
      </c>
      <c r="M25" t="s">
        <v>47</v>
      </c>
      <c r="N25" t="s">
        <v>120</v>
      </c>
      <c r="O25" t="s">
        <v>49</v>
      </c>
      <c r="P25" t="s">
        <v>50</v>
      </c>
      <c r="Q25" t="s">
        <v>133</v>
      </c>
      <c r="R25" t="s">
        <v>80</v>
      </c>
      <c r="S25" t="s">
        <v>53</v>
      </c>
      <c r="T25" t="s">
        <v>121</v>
      </c>
      <c r="U25" t="s">
        <v>55</v>
      </c>
      <c r="V25" t="s">
        <v>101</v>
      </c>
      <c r="W25" t="s">
        <v>83</v>
      </c>
      <c r="X25" t="s">
        <v>84</v>
      </c>
      <c r="Y25" t="s">
        <v>102</v>
      </c>
      <c r="Z25" t="s">
        <v>103</v>
      </c>
      <c r="AA25" t="s">
        <v>86</v>
      </c>
      <c r="AB25" t="s">
        <v>130</v>
      </c>
      <c r="AC25" t="s">
        <v>63</v>
      </c>
      <c r="AD25" t="s">
        <v>64</v>
      </c>
      <c r="AE25" t="s">
        <v>87</v>
      </c>
      <c r="AF25" t="s">
        <v>114</v>
      </c>
      <c r="AG25" t="s">
        <v>131</v>
      </c>
      <c r="AH25" t="s">
        <v>68</v>
      </c>
      <c r="AI25" t="s">
        <v>69</v>
      </c>
    </row>
    <row r="26" spans="1:35" x14ac:dyDescent="0.25">
      <c r="A26" t="s">
        <v>93</v>
      </c>
      <c r="B26" t="s">
        <v>36</v>
      </c>
      <c r="C26" t="s">
        <v>37</v>
      </c>
      <c r="D26" t="s">
        <v>122</v>
      </c>
      <c r="E26" s="1" t="s">
        <v>75</v>
      </c>
      <c r="F26" t="s">
        <v>40</v>
      </c>
      <c r="G26" t="s">
        <v>99</v>
      </c>
      <c r="H26" t="s">
        <v>119</v>
      </c>
      <c r="I26" t="s">
        <v>110</v>
      </c>
      <c r="J26" t="s">
        <v>44</v>
      </c>
      <c r="K26" t="s">
        <v>78</v>
      </c>
      <c r="L26" t="s">
        <v>90</v>
      </c>
      <c r="M26" t="s">
        <v>126</v>
      </c>
      <c r="N26" t="s">
        <v>120</v>
      </c>
      <c r="O26" t="s">
        <v>49</v>
      </c>
      <c r="P26" t="s">
        <v>50</v>
      </c>
      <c r="Q26" t="s">
        <v>51</v>
      </c>
      <c r="R26" t="s">
        <v>52</v>
      </c>
      <c r="S26" t="s">
        <v>53</v>
      </c>
      <c r="T26" t="s">
        <v>54</v>
      </c>
      <c r="U26" t="s">
        <v>55</v>
      </c>
      <c r="V26" t="s">
        <v>101</v>
      </c>
      <c r="W26" t="s">
        <v>83</v>
      </c>
      <c r="X26" t="s">
        <v>58</v>
      </c>
      <c r="Y26" t="s">
        <v>59</v>
      </c>
      <c r="Z26" t="s">
        <v>103</v>
      </c>
      <c r="AA26" t="s">
        <v>86</v>
      </c>
      <c r="AB26" t="s">
        <v>62</v>
      </c>
      <c r="AC26" t="s">
        <v>104</v>
      </c>
      <c r="AD26" t="s">
        <v>64</v>
      </c>
      <c r="AE26" t="s">
        <v>87</v>
      </c>
      <c r="AF26" t="s">
        <v>66</v>
      </c>
      <c r="AG26" t="s">
        <v>97</v>
      </c>
      <c r="AH26" t="s">
        <v>68</v>
      </c>
      <c r="AI26" t="s">
        <v>140</v>
      </c>
    </row>
    <row r="27" spans="1:35" x14ac:dyDescent="0.25">
      <c r="A27" t="s">
        <v>35</v>
      </c>
      <c r="B27" t="s">
        <v>73</v>
      </c>
      <c r="C27" t="s">
        <v>107</v>
      </c>
      <c r="D27" t="s">
        <v>38</v>
      </c>
      <c r="E27" t="s">
        <v>39</v>
      </c>
      <c r="F27" t="s">
        <v>40</v>
      </c>
      <c r="G27" t="s">
        <v>99</v>
      </c>
      <c r="H27" t="s">
        <v>119</v>
      </c>
      <c r="I27" t="s">
        <v>110</v>
      </c>
      <c r="J27" t="s">
        <v>44</v>
      </c>
      <c r="K27" t="s">
        <v>45</v>
      </c>
      <c r="L27" t="s">
        <v>90</v>
      </c>
      <c r="M27" t="s">
        <v>126</v>
      </c>
      <c r="N27" t="s">
        <v>48</v>
      </c>
      <c r="O27" t="s">
        <v>49</v>
      </c>
      <c r="P27" t="s">
        <v>50</v>
      </c>
      <c r="Q27" t="s">
        <v>51</v>
      </c>
      <c r="R27" t="s">
        <v>80</v>
      </c>
      <c r="S27" t="s">
        <v>81</v>
      </c>
      <c r="T27" t="s">
        <v>70</v>
      </c>
      <c r="U27" t="s">
        <v>55</v>
      </c>
      <c r="V27" t="s">
        <v>56</v>
      </c>
      <c r="W27" t="s">
        <v>57</v>
      </c>
      <c r="X27" t="s">
        <v>84</v>
      </c>
      <c r="Y27" t="s">
        <v>59</v>
      </c>
      <c r="Z27" t="s">
        <v>85</v>
      </c>
      <c r="AA27" t="s">
        <v>61</v>
      </c>
      <c r="AB27" t="s">
        <v>62</v>
      </c>
      <c r="AC27" t="s">
        <v>63</v>
      </c>
      <c r="AD27" t="s">
        <v>64</v>
      </c>
      <c r="AE27" t="s">
        <v>87</v>
      </c>
      <c r="AF27" t="s">
        <v>92</v>
      </c>
      <c r="AG27" t="s">
        <v>131</v>
      </c>
      <c r="AH27" t="s">
        <v>68</v>
      </c>
      <c r="AI27" t="s">
        <v>106</v>
      </c>
    </row>
    <row r="28" spans="1:35" x14ac:dyDescent="0.25">
      <c r="A28" t="s">
        <v>35</v>
      </c>
      <c r="B28" t="s">
        <v>98</v>
      </c>
      <c r="C28" t="s">
        <v>37</v>
      </c>
      <c r="D28" t="s">
        <v>108</v>
      </c>
      <c r="E28" t="s">
        <v>39</v>
      </c>
      <c r="F28" t="s">
        <v>76</v>
      </c>
      <c r="G28" t="s">
        <v>109</v>
      </c>
      <c r="H28" t="s">
        <v>124</v>
      </c>
      <c r="I28" t="s">
        <v>136</v>
      </c>
      <c r="J28" t="s">
        <v>141</v>
      </c>
      <c r="K28" t="s">
        <v>111</v>
      </c>
      <c r="L28" t="s">
        <v>125</v>
      </c>
      <c r="M28" t="s">
        <v>126</v>
      </c>
      <c r="N28" t="s">
        <v>120</v>
      </c>
      <c r="O28" t="s">
        <v>49</v>
      </c>
      <c r="P28" t="s">
        <v>50</v>
      </c>
      <c r="Q28" t="s">
        <v>133</v>
      </c>
      <c r="R28" t="s">
        <v>129</v>
      </c>
      <c r="S28" t="s">
        <v>53</v>
      </c>
      <c r="T28" t="s">
        <v>54</v>
      </c>
      <c r="U28" t="s">
        <v>134</v>
      </c>
      <c r="V28" t="s">
        <v>101</v>
      </c>
      <c r="W28" t="s">
        <v>57</v>
      </c>
      <c r="X28" t="s">
        <v>84</v>
      </c>
      <c r="Y28" t="s">
        <v>102</v>
      </c>
      <c r="Z28" t="s">
        <v>103</v>
      </c>
      <c r="AA28" t="s">
        <v>86</v>
      </c>
      <c r="AB28" t="s">
        <v>130</v>
      </c>
      <c r="AC28" t="s">
        <v>104</v>
      </c>
      <c r="AD28" t="s">
        <v>105</v>
      </c>
      <c r="AE28" t="s">
        <v>142</v>
      </c>
      <c r="AF28" t="s">
        <v>92</v>
      </c>
      <c r="AG28" t="s">
        <v>131</v>
      </c>
      <c r="AH28" t="s">
        <v>68</v>
      </c>
      <c r="AI28" t="s">
        <v>116</v>
      </c>
    </row>
    <row r="29" spans="1:35" x14ac:dyDescent="0.25">
      <c r="A29" t="s">
        <v>35</v>
      </c>
      <c r="B29" t="s">
        <v>36</v>
      </c>
      <c r="C29" t="s">
        <v>107</v>
      </c>
      <c r="D29" t="s">
        <v>122</v>
      </c>
      <c r="E29" s="1" t="s">
        <v>75</v>
      </c>
      <c r="F29" t="s">
        <v>40</v>
      </c>
      <c r="G29" t="s">
        <v>99</v>
      </c>
      <c r="H29" t="s">
        <v>42</v>
      </c>
      <c r="I29" t="s">
        <v>77</v>
      </c>
      <c r="J29" t="s">
        <v>44</v>
      </c>
      <c r="K29" t="s">
        <v>45</v>
      </c>
      <c r="L29" t="s">
        <v>46</v>
      </c>
      <c r="M29" t="s">
        <v>79</v>
      </c>
      <c r="N29" t="s">
        <v>112</v>
      </c>
      <c r="O29" t="s">
        <v>49</v>
      </c>
      <c r="P29" t="s">
        <v>95</v>
      </c>
      <c r="Q29" t="s">
        <v>51</v>
      </c>
      <c r="R29" t="s">
        <v>52</v>
      </c>
      <c r="S29" t="s">
        <v>53</v>
      </c>
      <c r="T29" t="s">
        <v>70</v>
      </c>
      <c r="U29" t="s">
        <v>55</v>
      </c>
      <c r="V29" t="s">
        <v>101</v>
      </c>
      <c r="W29" t="s">
        <v>83</v>
      </c>
      <c r="X29" t="s">
        <v>58</v>
      </c>
      <c r="Y29" t="s">
        <v>72</v>
      </c>
      <c r="Z29" t="s">
        <v>103</v>
      </c>
      <c r="AA29" t="s">
        <v>61</v>
      </c>
      <c r="AB29" t="s">
        <v>62</v>
      </c>
      <c r="AC29" t="s">
        <v>63</v>
      </c>
      <c r="AD29" t="s">
        <v>64</v>
      </c>
      <c r="AE29" t="s">
        <v>65</v>
      </c>
      <c r="AF29" t="s">
        <v>66</v>
      </c>
      <c r="AG29" t="s">
        <v>67</v>
      </c>
      <c r="AH29" t="s">
        <v>68</v>
      </c>
      <c r="AI29" t="s">
        <v>116</v>
      </c>
    </row>
    <row r="30" spans="1:35" x14ac:dyDescent="0.25">
      <c r="A30" t="s">
        <v>35</v>
      </c>
      <c r="B30" t="s">
        <v>36</v>
      </c>
      <c r="C30" t="s">
        <v>107</v>
      </c>
      <c r="D30" t="s">
        <v>122</v>
      </c>
      <c r="E30" s="1" t="s">
        <v>118</v>
      </c>
      <c r="F30" t="s">
        <v>76</v>
      </c>
      <c r="G30" t="s">
        <v>99</v>
      </c>
      <c r="H30" t="s">
        <v>119</v>
      </c>
      <c r="I30" t="s">
        <v>110</v>
      </c>
      <c r="J30" t="s">
        <v>44</v>
      </c>
      <c r="K30" t="s">
        <v>45</v>
      </c>
      <c r="L30" t="s">
        <v>90</v>
      </c>
      <c r="M30" t="s">
        <v>126</v>
      </c>
      <c r="N30" t="s">
        <v>48</v>
      </c>
      <c r="O30" t="s">
        <v>49</v>
      </c>
      <c r="P30" t="s">
        <v>50</v>
      </c>
      <c r="Q30" t="s">
        <v>51</v>
      </c>
      <c r="R30" t="s">
        <v>129</v>
      </c>
      <c r="S30" t="s">
        <v>53</v>
      </c>
      <c r="T30" t="s">
        <v>121</v>
      </c>
      <c r="U30" t="s">
        <v>55</v>
      </c>
      <c r="V30" t="s">
        <v>71</v>
      </c>
      <c r="W30" t="s">
        <v>57</v>
      </c>
      <c r="X30" t="s">
        <v>58</v>
      </c>
      <c r="Y30" t="s">
        <v>59</v>
      </c>
      <c r="Z30" t="s">
        <v>60</v>
      </c>
      <c r="AA30" t="s">
        <v>86</v>
      </c>
      <c r="AB30" t="s">
        <v>62</v>
      </c>
      <c r="AC30" t="s">
        <v>63</v>
      </c>
      <c r="AD30" t="s">
        <v>64</v>
      </c>
      <c r="AE30" t="s">
        <v>87</v>
      </c>
      <c r="AF30" t="s">
        <v>66</v>
      </c>
      <c r="AG30" t="s">
        <v>97</v>
      </c>
      <c r="AH30" t="s">
        <v>68</v>
      </c>
      <c r="AI30" t="s">
        <v>106</v>
      </c>
    </row>
    <row r="31" spans="1:35" x14ac:dyDescent="0.25">
      <c r="A31" t="s">
        <v>35</v>
      </c>
      <c r="B31" t="s">
        <v>73</v>
      </c>
      <c r="C31" t="s">
        <v>88</v>
      </c>
      <c r="D31" t="s">
        <v>38</v>
      </c>
      <c r="E31" s="1" t="s">
        <v>94</v>
      </c>
      <c r="F31" t="s">
        <v>76</v>
      </c>
      <c r="G31" t="s">
        <v>41</v>
      </c>
      <c r="H31" t="s">
        <v>42</v>
      </c>
      <c r="I31" t="s">
        <v>43</v>
      </c>
      <c r="J31" t="s">
        <v>44</v>
      </c>
      <c r="K31" t="s">
        <v>89</v>
      </c>
      <c r="L31" t="s">
        <v>46</v>
      </c>
      <c r="M31" t="s">
        <v>79</v>
      </c>
      <c r="N31" t="s">
        <v>112</v>
      </c>
      <c r="O31" t="s">
        <v>49</v>
      </c>
      <c r="P31" t="s">
        <v>95</v>
      </c>
      <c r="Q31" t="s">
        <v>51</v>
      </c>
      <c r="R31" t="s">
        <v>80</v>
      </c>
      <c r="S31" t="s">
        <v>138</v>
      </c>
      <c r="T31" t="s">
        <v>70</v>
      </c>
      <c r="U31" t="s">
        <v>82</v>
      </c>
      <c r="V31" t="s">
        <v>56</v>
      </c>
      <c r="W31" t="s">
        <v>91</v>
      </c>
      <c r="X31" t="s">
        <v>84</v>
      </c>
      <c r="Y31" t="s">
        <v>72</v>
      </c>
      <c r="Z31" t="s">
        <v>85</v>
      </c>
      <c r="AA31" t="s">
        <v>61</v>
      </c>
      <c r="AB31" t="s">
        <v>62</v>
      </c>
      <c r="AC31" t="s">
        <v>63</v>
      </c>
      <c r="AD31" t="s">
        <v>64</v>
      </c>
      <c r="AE31" t="s">
        <v>87</v>
      </c>
      <c r="AF31" t="s">
        <v>92</v>
      </c>
      <c r="AG31" t="s">
        <v>67</v>
      </c>
      <c r="AH31" t="s">
        <v>68</v>
      </c>
      <c r="AI31" t="s">
        <v>69</v>
      </c>
    </row>
    <row r="32" spans="1:35" x14ac:dyDescent="0.25">
      <c r="A32" t="s">
        <v>35</v>
      </c>
      <c r="B32" t="s">
        <v>98</v>
      </c>
      <c r="C32" t="s">
        <v>107</v>
      </c>
      <c r="D32" t="s">
        <v>108</v>
      </c>
      <c r="E32" s="1" t="s">
        <v>94</v>
      </c>
      <c r="F32" t="s">
        <v>76</v>
      </c>
      <c r="G32" t="s">
        <v>109</v>
      </c>
      <c r="H32" t="s">
        <v>124</v>
      </c>
      <c r="I32" t="s">
        <v>77</v>
      </c>
      <c r="J32" t="s">
        <v>141</v>
      </c>
      <c r="K32" t="s">
        <v>111</v>
      </c>
      <c r="L32" t="s">
        <v>125</v>
      </c>
      <c r="M32" t="s">
        <v>47</v>
      </c>
      <c r="N32" t="s">
        <v>120</v>
      </c>
      <c r="O32" t="s">
        <v>143</v>
      </c>
      <c r="P32" t="s">
        <v>50</v>
      </c>
      <c r="Q32" t="s">
        <v>133</v>
      </c>
      <c r="R32" t="s">
        <v>52</v>
      </c>
      <c r="S32" t="s">
        <v>53</v>
      </c>
      <c r="T32" t="s">
        <v>54</v>
      </c>
      <c r="U32" t="s">
        <v>134</v>
      </c>
      <c r="V32" t="s">
        <v>71</v>
      </c>
      <c r="W32" t="s">
        <v>57</v>
      </c>
      <c r="X32" t="s">
        <v>58</v>
      </c>
      <c r="Y32" t="s">
        <v>102</v>
      </c>
      <c r="Z32" t="s">
        <v>60</v>
      </c>
      <c r="AA32" t="s">
        <v>61</v>
      </c>
      <c r="AB32" t="s">
        <v>113</v>
      </c>
      <c r="AC32" t="s">
        <v>104</v>
      </c>
      <c r="AD32" t="s">
        <v>105</v>
      </c>
      <c r="AE32" t="s">
        <v>87</v>
      </c>
      <c r="AF32" t="s">
        <v>66</v>
      </c>
      <c r="AG32" t="s">
        <v>131</v>
      </c>
      <c r="AH32" t="s">
        <v>68</v>
      </c>
      <c r="AI32" t="s">
        <v>116</v>
      </c>
    </row>
    <row r="33" spans="1:35" x14ac:dyDescent="0.25">
      <c r="A33" t="s">
        <v>93</v>
      </c>
      <c r="B33" t="s">
        <v>73</v>
      </c>
      <c r="C33" t="s">
        <v>88</v>
      </c>
      <c r="D33" t="s">
        <v>38</v>
      </c>
      <c r="E33" s="1" t="s">
        <v>94</v>
      </c>
      <c r="F33" t="s">
        <v>76</v>
      </c>
      <c r="G33" t="s">
        <v>109</v>
      </c>
      <c r="H33" t="s">
        <v>119</v>
      </c>
      <c r="I33" t="s">
        <v>43</v>
      </c>
      <c r="J33" t="s">
        <v>44</v>
      </c>
      <c r="K33" t="s">
        <v>111</v>
      </c>
      <c r="L33" t="s">
        <v>90</v>
      </c>
      <c r="M33" t="s">
        <v>126</v>
      </c>
      <c r="N33" t="s">
        <v>120</v>
      </c>
      <c r="O33" t="s">
        <v>49</v>
      </c>
      <c r="P33" t="s">
        <v>95</v>
      </c>
      <c r="Q33" t="s">
        <v>96</v>
      </c>
      <c r="R33" t="s">
        <v>129</v>
      </c>
      <c r="S33" t="s">
        <v>53</v>
      </c>
      <c r="T33" t="s">
        <v>54</v>
      </c>
      <c r="U33" t="s">
        <v>134</v>
      </c>
      <c r="V33" t="s">
        <v>71</v>
      </c>
      <c r="W33" t="s">
        <v>83</v>
      </c>
      <c r="X33" t="s">
        <v>58</v>
      </c>
      <c r="Y33" t="s">
        <v>102</v>
      </c>
      <c r="Z33" t="s">
        <v>60</v>
      </c>
      <c r="AA33" t="s">
        <v>61</v>
      </c>
      <c r="AB33" t="s">
        <v>113</v>
      </c>
      <c r="AC33" t="s">
        <v>63</v>
      </c>
      <c r="AD33" t="s">
        <v>64</v>
      </c>
      <c r="AE33" t="s">
        <v>142</v>
      </c>
      <c r="AF33" t="s">
        <v>66</v>
      </c>
      <c r="AG33" t="s">
        <v>144</v>
      </c>
      <c r="AH33" t="s">
        <v>68</v>
      </c>
      <c r="AI33" t="s">
        <v>106</v>
      </c>
    </row>
    <row r="34" spans="1:35" x14ac:dyDescent="0.25">
      <c r="A34" t="s">
        <v>93</v>
      </c>
      <c r="B34" t="s">
        <v>117</v>
      </c>
      <c r="C34" t="s">
        <v>107</v>
      </c>
      <c r="D34" t="s">
        <v>108</v>
      </c>
      <c r="E34" t="s">
        <v>39</v>
      </c>
      <c r="F34" t="s">
        <v>40</v>
      </c>
      <c r="G34" t="s">
        <v>99</v>
      </c>
      <c r="H34" t="s">
        <v>119</v>
      </c>
      <c r="I34" t="s">
        <v>110</v>
      </c>
      <c r="J34" t="s">
        <v>44</v>
      </c>
      <c r="K34" t="s">
        <v>111</v>
      </c>
      <c r="L34" t="s">
        <v>90</v>
      </c>
      <c r="M34" t="s">
        <v>126</v>
      </c>
      <c r="N34" t="s">
        <v>48</v>
      </c>
      <c r="O34" t="s">
        <v>49</v>
      </c>
      <c r="P34" t="s">
        <v>127</v>
      </c>
      <c r="Q34" t="s">
        <v>133</v>
      </c>
      <c r="R34" t="s">
        <v>129</v>
      </c>
      <c r="S34" t="s">
        <v>53</v>
      </c>
      <c r="T34" t="s">
        <v>121</v>
      </c>
      <c r="U34" t="s">
        <v>134</v>
      </c>
      <c r="V34" t="s">
        <v>101</v>
      </c>
      <c r="W34" t="s">
        <v>83</v>
      </c>
      <c r="X34" t="s">
        <v>58</v>
      </c>
      <c r="Y34" t="s">
        <v>72</v>
      </c>
      <c r="Z34" t="s">
        <v>60</v>
      </c>
      <c r="AA34" t="s">
        <v>86</v>
      </c>
      <c r="AB34" t="s">
        <v>113</v>
      </c>
      <c r="AC34" t="s">
        <v>104</v>
      </c>
      <c r="AD34" t="s">
        <v>64</v>
      </c>
      <c r="AE34" t="s">
        <v>87</v>
      </c>
      <c r="AF34" t="s">
        <v>66</v>
      </c>
      <c r="AG34" t="s">
        <v>144</v>
      </c>
      <c r="AH34" t="s">
        <v>68</v>
      </c>
      <c r="AI34" t="s">
        <v>106</v>
      </c>
    </row>
    <row r="35" spans="1:35" x14ac:dyDescent="0.25">
      <c r="A35" t="s">
        <v>93</v>
      </c>
      <c r="B35" t="s">
        <v>117</v>
      </c>
      <c r="C35" t="s">
        <v>107</v>
      </c>
      <c r="D35" t="s">
        <v>108</v>
      </c>
      <c r="E35" t="s">
        <v>39</v>
      </c>
      <c r="F35" t="s">
        <v>40</v>
      </c>
      <c r="G35" t="s">
        <v>99</v>
      </c>
      <c r="H35" t="s">
        <v>119</v>
      </c>
      <c r="I35" t="s">
        <v>110</v>
      </c>
      <c r="J35" t="s">
        <v>44</v>
      </c>
      <c r="K35" t="s">
        <v>111</v>
      </c>
      <c r="L35" t="s">
        <v>90</v>
      </c>
      <c r="M35" t="s">
        <v>126</v>
      </c>
      <c r="N35" t="s">
        <v>48</v>
      </c>
      <c r="O35" t="s">
        <v>49</v>
      </c>
      <c r="P35" t="s">
        <v>127</v>
      </c>
      <c r="Q35" t="s">
        <v>133</v>
      </c>
      <c r="R35" t="s">
        <v>129</v>
      </c>
      <c r="S35" t="s">
        <v>53</v>
      </c>
      <c r="T35" t="s">
        <v>121</v>
      </c>
      <c r="U35" t="s">
        <v>134</v>
      </c>
      <c r="V35" t="s">
        <v>101</v>
      </c>
      <c r="W35" t="s">
        <v>83</v>
      </c>
      <c r="X35" t="s">
        <v>58</v>
      </c>
      <c r="Y35" t="s">
        <v>72</v>
      </c>
      <c r="Z35" t="s">
        <v>60</v>
      </c>
      <c r="AA35" t="s">
        <v>86</v>
      </c>
      <c r="AB35" t="s">
        <v>113</v>
      </c>
      <c r="AC35" t="s">
        <v>104</v>
      </c>
      <c r="AD35" t="s">
        <v>64</v>
      </c>
      <c r="AE35" t="s">
        <v>87</v>
      </c>
      <c r="AF35" t="s">
        <v>66</v>
      </c>
      <c r="AG35" t="s">
        <v>144</v>
      </c>
      <c r="AH35" t="s">
        <v>68</v>
      </c>
      <c r="AI35" t="s">
        <v>106</v>
      </c>
    </row>
    <row r="36" spans="1:35" x14ac:dyDescent="0.25">
      <c r="A36" t="s">
        <v>93</v>
      </c>
      <c r="B36" t="s">
        <v>117</v>
      </c>
      <c r="C36" t="s">
        <v>107</v>
      </c>
      <c r="D36" t="s">
        <v>108</v>
      </c>
      <c r="E36" t="s">
        <v>39</v>
      </c>
      <c r="F36" t="s">
        <v>40</v>
      </c>
      <c r="G36" t="s">
        <v>99</v>
      </c>
      <c r="H36" t="s">
        <v>119</v>
      </c>
      <c r="I36" t="s">
        <v>110</v>
      </c>
      <c r="J36" t="s">
        <v>44</v>
      </c>
      <c r="K36" t="s">
        <v>111</v>
      </c>
      <c r="L36" t="s">
        <v>90</v>
      </c>
      <c r="M36" t="s">
        <v>126</v>
      </c>
      <c r="N36" t="s">
        <v>48</v>
      </c>
      <c r="O36" t="s">
        <v>49</v>
      </c>
      <c r="P36" t="s">
        <v>127</v>
      </c>
      <c r="Q36" t="s">
        <v>133</v>
      </c>
      <c r="R36" t="s">
        <v>129</v>
      </c>
      <c r="S36" t="s">
        <v>53</v>
      </c>
      <c r="T36" t="s">
        <v>121</v>
      </c>
      <c r="U36" t="s">
        <v>134</v>
      </c>
      <c r="V36" t="s">
        <v>101</v>
      </c>
      <c r="W36" t="s">
        <v>83</v>
      </c>
      <c r="X36" t="s">
        <v>58</v>
      </c>
      <c r="Y36" t="s">
        <v>72</v>
      </c>
      <c r="Z36" t="s">
        <v>60</v>
      </c>
      <c r="AA36" t="s">
        <v>86</v>
      </c>
      <c r="AB36" t="s">
        <v>113</v>
      </c>
      <c r="AC36" t="s">
        <v>104</v>
      </c>
      <c r="AD36" t="s">
        <v>64</v>
      </c>
      <c r="AE36" t="s">
        <v>87</v>
      </c>
      <c r="AF36" t="s">
        <v>66</v>
      </c>
      <c r="AG36" t="s">
        <v>144</v>
      </c>
      <c r="AH36" t="s">
        <v>68</v>
      </c>
      <c r="AI36" t="s">
        <v>106</v>
      </c>
    </row>
    <row r="37" spans="1:35" x14ac:dyDescent="0.25">
      <c r="A37" t="s">
        <v>93</v>
      </c>
      <c r="B37" t="s">
        <v>117</v>
      </c>
      <c r="C37" t="s">
        <v>107</v>
      </c>
      <c r="D37" t="s">
        <v>108</v>
      </c>
      <c r="E37" t="s">
        <v>39</v>
      </c>
      <c r="F37" t="s">
        <v>40</v>
      </c>
      <c r="G37" t="s">
        <v>99</v>
      </c>
      <c r="H37" t="s">
        <v>119</v>
      </c>
      <c r="I37" t="s">
        <v>110</v>
      </c>
      <c r="J37" t="s">
        <v>44</v>
      </c>
      <c r="K37" t="s">
        <v>111</v>
      </c>
      <c r="L37" t="s">
        <v>90</v>
      </c>
      <c r="M37" t="s">
        <v>126</v>
      </c>
      <c r="N37" t="s">
        <v>48</v>
      </c>
      <c r="O37" t="s">
        <v>49</v>
      </c>
      <c r="P37" t="s">
        <v>127</v>
      </c>
      <c r="Q37" t="s">
        <v>133</v>
      </c>
      <c r="R37" t="s">
        <v>129</v>
      </c>
      <c r="S37" t="s">
        <v>53</v>
      </c>
      <c r="T37" t="s">
        <v>121</v>
      </c>
      <c r="U37" t="s">
        <v>134</v>
      </c>
      <c r="V37" t="s">
        <v>101</v>
      </c>
      <c r="W37" t="s">
        <v>83</v>
      </c>
      <c r="X37" t="s">
        <v>58</v>
      </c>
      <c r="Y37" t="s">
        <v>72</v>
      </c>
      <c r="Z37" t="s">
        <v>60</v>
      </c>
      <c r="AA37" t="s">
        <v>86</v>
      </c>
      <c r="AB37" t="s">
        <v>113</v>
      </c>
      <c r="AC37" t="s">
        <v>104</v>
      </c>
      <c r="AD37" t="s">
        <v>64</v>
      </c>
      <c r="AE37" t="s">
        <v>87</v>
      </c>
      <c r="AF37" t="s">
        <v>66</v>
      </c>
      <c r="AG37" t="s">
        <v>144</v>
      </c>
      <c r="AH37" t="s">
        <v>68</v>
      </c>
      <c r="AI37" t="s">
        <v>106</v>
      </c>
    </row>
    <row r="38" spans="1:35" x14ac:dyDescent="0.25">
      <c r="A38" t="s">
        <v>93</v>
      </c>
      <c r="B38" t="s">
        <v>117</v>
      </c>
      <c r="C38" t="s">
        <v>107</v>
      </c>
      <c r="D38" t="s">
        <v>108</v>
      </c>
      <c r="E38" t="s">
        <v>39</v>
      </c>
      <c r="F38" t="s">
        <v>40</v>
      </c>
      <c r="G38" t="s">
        <v>99</v>
      </c>
      <c r="H38" t="s">
        <v>119</v>
      </c>
      <c r="I38" t="s">
        <v>110</v>
      </c>
      <c r="J38" t="s">
        <v>44</v>
      </c>
      <c r="K38" t="s">
        <v>111</v>
      </c>
      <c r="L38" t="s">
        <v>90</v>
      </c>
      <c r="M38" t="s">
        <v>126</v>
      </c>
      <c r="N38" t="s">
        <v>48</v>
      </c>
      <c r="O38" t="s">
        <v>49</v>
      </c>
      <c r="P38" t="s">
        <v>127</v>
      </c>
      <c r="Q38" t="s">
        <v>133</v>
      </c>
      <c r="R38" t="s">
        <v>129</v>
      </c>
      <c r="S38" t="s">
        <v>53</v>
      </c>
      <c r="T38" t="s">
        <v>121</v>
      </c>
      <c r="U38" t="s">
        <v>134</v>
      </c>
      <c r="V38" t="s">
        <v>101</v>
      </c>
      <c r="W38" t="s">
        <v>83</v>
      </c>
      <c r="X38" t="s">
        <v>58</v>
      </c>
      <c r="Y38" t="s">
        <v>72</v>
      </c>
      <c r="Z38" t="s">
        <v>60</v>
      </c>
      <c r="AA38" t="s">
        <v>86</v>
      </c>
      <c r="AB38" t="s">
        <v>113</v>
      </c>
      <c r="AC38" t="s">
        <v>104</v>
      </c>
      <c r="AD38" t="s">
        <v>64</v>
      </c>
      <c r="AE38" t="s">
        <v>87</v>
      </c>
      <c r="AF38" t="s">
        <v>66</v>
      </c>
      <c r="AG38" t="s">
        <v>144</v>
      </c>
      <c r="AH38" t="s">
        <v>68</v>
      </c>
      <c r="AI38" t="s">
        <v>106</v>
      </c>
    </row>
    <row r="39" spans="1:35" x14ac:dyDescent="0.25">
      <c r="A39" t="s">
        <v>93</v>
      </c>
      <c r="B39" t="s">
        <v>117</v>
      </c>
      <c r="C39" t="s">
        <v>107</v>
      </c>
      <c r="D39" t="s">
        <v>108</v>
      </c>
      <c r="E39" t="s">
        <v>39</v>
      </c>
      <c r="F39" t="s">
        <v>40</v>
      </c>
      <c r="G39" t="s">
        <v>99</v>
      </c>
      <c r="H39" t="s">
        <v>119</v>
      </c>
      <c r="I39" t="s">
        <v>110</v>
      </c>
      <c r="J39" t="s">
        <v>44</v>
      </c>
      <c r="K39" t="s">
        <v>111</v>
      </c>
      <c r="L39" t="s">
        <v>90</v>
      </c>
      <c r="M39" t="s">
        <v>126</v>
      </c>
      <c r="N39" t="s">
        <v>48</v>
      </c>
      <c r="O39" t="s">
        <v>49</v>
      </c>
      <c r="P39" t="s">
        <v>127</v>
      </c>
      <c r="Q39" t="s">
        <v>133</v>
      </c>
      <c r="R39" t="s">
        <v>129</v>
      </c>
      <c r="S39" t="s">
        <v>53</v>
      </c>
      <c r="T39" t="s">
        <v>121</v>
      </c>
      <c r="U39" t="s">
        <v>134</v>
      </c>
      <c r="V39" t="s">
        <v>101</v>
      </c>
      <c r="W39" t="s">
        <v>83</v>
      </c>
      <c r="X39" t="s">
        <v>58</v>
      </c>
      <c r="Y39" t="s">
        <v>72</v>
      </c>
      <c r="Z39" t="s">
        <v>60</v>
      </c>
      <c r="AA39" t="s">
        <v>86</v>
      </c>
      <c r="AB39" t="s">
        <v>113</v>
      </c>
      <c r="AC39" t="s">
        <v>104</v>
      </c>
      <c r="AD39" t="s">
        <v>64</v>
      </c>
      <c r="AE39" t="s">
        <v>87</v>
      </c>
      <c r="AF39" t="s">
        <v>66</v>
      </c>
      <c r="AG39" t="s">
        <v>144</v>
      </c>
      <c r="AH39" t="s">
        <v>68</v>
      </c>
      <c r="AI39" t="s">
        <v>106</v>
      </c>
    </row>
    <row r="40" spans="1:35" x14ac:dyDescent="0.25">
      <c r="A40" t="s">
        <v>93</v>
      </c>
      <c r="B40" t="s">
        <v>117</v>
      </c>
      <c r="C40" t="s">
        <v>107</v>
      </c>
      <c r="D40" t="s">
        <v>108</v>
      </c>
      <c r="E40" t="s">
        <v>39</v>
      </c>
      <c r="F40" t="s">
        <v>40</v>
      </c>
      <c r="G40" t="s">
        <v>99</v>
      </c>
      <c r="H40" t="s">
        <v>119</v>
      </c>
      <c r="I40" t="s">
        <v>110</v>
      </c>
      <c r="J40" t="s">
        <v>44</v>
      </c>
      <c r="K40" t="s">
        <v>111</v>
      </c>
      <c r="L40" t="s">
        <v>90</v>
      </c>
      <c r="M40" t="s">
        <v>126</v>
      </c>
      <c r="N40" t="s">
        <v>48</v>
      </c>
      <c r="O40" t="s">
        <v>49</v>
      </c>
      <c r="P40" t="s">
        <v>127</v>
      </c>
      <c r="Q40" t="s">
        <v>133</v>
      </c>
      <c r="R40" t="s">
        <v>129</v>
      </c>
      <c r="S40" t="s">
        <v>53</v>
      </c>
      <c r="T40" t="s">
        <v>121</v>
      </c>
      <c r="U40" t="s">
        <v>134</v>
      </c>
      <c r="V40" t="s">
        <v>101</v>
      </c>
      <c r="W40" t="s">
        <v>83</v>
      </c>
      <c r="X40" t="s">
        <v>58</v>
      </c>
      <c r="Y40" t="s">
        <v>72</v>
      </c>
      <c r="Z40" t="s">
        <v>60</v>
      </c>
      <c r="AA40" t="s">
        <v>86</v>
      </c>
      <c r="AB40" t="s">
        <v>113</v>
      </c>
      <c r="AC40" t="s">
        <v>104</v>
      </c>
      <c r="AD40" t="s">
        <v>64</v>
      </c>
      <c r="AE40" t="s">
        <v>87</v>
      </c>
      <c r="AF40" t="s">
        <v>66</v>
      </c>
      <c r="AG40" t="s">
        <v>144</v>
      </c>
      <c r="AH40" t="s">
        <v>68</v>
      </c>
      <c r="AI40" t="s">
        <v>106</v>
      </c>
    </row>
    <row r="41" spans="1:35" x14ac:dyDescent="0.25">
      <c r="A41" t="s">
        <v>93</v>
      </c>
      <c r="B41" t="s">
        <v>117</v>
      </c>
      <c r="C41" t="s">
        <v>107</v>
      </c>
      <c r="D41" t="s">
        <v>108</v>
      </c>
      <c r="E41" t="s">
        <v>39</v>
      </c>
      <c r="F41" t="s">
        <v>40</v>
      </c>
      <c r="G41" t="s">
        <v>99</v>
      </c>
      <c r="H41" t="s">
        <v>119</v>
      </c>
      <c r="I41" t="s">
        <v>110</v>
      </c>
      <c r="J41" t="s">
        <v>44</v>
      </c>
      <c r="K41" t="s">
        <v>111</v>
      </c>
      <c r="L41" t="s">
        <v>90</v>
      </c>
      <c r="M41" t="s">
        <v>126</v>
      </c>
      <c r="N41" t="s">
        <v>48</v>
      </c>
      <c r="O41" t="s">
        <v>49</v>
      </c>
      <c r="P41" t="s">
        <v>127</v>
      </c>
      <c r="Q41" t="s">
        <v>133</v>
      </c>
      <c r="R41" t="s">
        <v>129</v>
      </c>
      <c r="S41" t="s">
        <v>53</v>
      </c>
      <c r="T41" t="s">
        <v>121</v>
      </c>
      <c r="U41" t="s">
        <v>134</v>
      </c>
      <c r="V41" t="s">
        <v>101</v>
      </c>
      <c r="W41" t="s">
        <v>83</v>
      </c>
      <c r="X41" t="s">
        <v>58</v>
      </c>
      <c r="Y41" t="s">
        <v>72</v>
      </c>
      <c r="Z41" t="s">
        <v>60</v>
      </c>
      <c r="AA41" t="s">
        <v>86</v>
      </c>
      <c r="AB41" t="s">
        <v>113</v>
      </c>
      <c r="AC41" t="s">
        <v>104</v>
      </c>
      <c r="AD41" t="s">
        <v>64</v>
      </c>
      <c r="AE41" t="s">
        <v>87</v>
      </c>
      <c r="AF41" t="s">
        <v>66</v>
      </c>
      <c r="AG41" t="s">
        <v>144</v>
      </c>
      <c r="AH41" t="s">
        <v>68</v>
      </c>
      <c r="AI41" t="s">
        <v>106</v>
      </c>
    </row>
    <row r="42" spans="1:35" x14ac:dyDescent="0.25">
      <c r="A42" t="s">
        <v>93</v>
      </c>
      <c r="B42" t="s">
        <v>117</v>
      </c>
      <c r="C42" t="s">
        <v>107</v>
      </c>
      <c r="D42" t="s">
        <v>108</v>
      </c>
      <c r="E42" t="s">
        <v>39</v>
      </c>
      <c r="F42" t="s">
        <v>40</v>
      </c>
      <c r="G42" t="s">
        <v>99</v>
      </c>
      <c r="H42" t="s">
        <v>119</v>
      </c>
      <c r="I42" t="s">
        <v>110</v>
      </c>
      <c r="J42" t="s">
        <v>44</v>
      </c>
      <c r="K42" t="s">
        <v>111</v>
      </c>
      <c r="L42" t="s">
        <v>90</v>
      </c>
      <c r="M42" t="s">
        <v>126</v>
      </c>
      <c r="N42" t="s">
        <v>48</v>
      </c>
      <c r="O42" t="s">
        <v>49</v>
      </c>
      <c r="P42" t="s">
        <v>127</v>
      </c>
      <c r="Q42" t="s">
        <v>133</v>
      </c>
      <c r="R42" t="s">
        <v>129</v>
      </c>
      <c r="S42" t="s">
        <v>53</v>
      </c>
      <c r="T42" t="s">
        <v>121</v>
      </c>
      <c r="U42" t="s">
        <v>134</v>
      </c>
      <c r="V42" t="s">
        <v>101</v>
      </c>
      <c r="W42" t="s">
        <v>83</v>
      </c>
      <c r="X42" t="s">
        <v>58</v>
      </c>
      <c r="Y42" t="s">
        <v>72</v>
      </c>
      <c r="Z42" t="s">
        <v>60</v>
      </c>
      <c r="AA42" t="s">
        <v>86</v>
      </c>
      <c r="AB42" t="s">
        <v>113</v>
      </c>
      <c r="AC42" t="s">
        <v>104</v>
      </c>
      <c r="AD42" t="s">
        <v>64</v>
      </c>
      <c r="AE42" t="s">
        <v>87</v>
      </c>
      <c r="AF42" t="s">
        <v>66</v>
      </c>
      <c r="AG42" t="s">
        <v>144</v>
      </c>
      <c r="AH42" t="s">
        <v>68</v>
      </c>
      <c r="AI42" t="s">
        <v>106</v>
      </c>
    </row>
    <row r="43" spans="1:35" x14ac:dyDescent="0.25">
      <c r="A43" t="s">
        <v>93</v>
      </c>
      <c r="B43" t="s">
        <v>117</v>
      </c>
      <c r="C43" t="s">
        <v>107</v>
      </c>
      <c r="D43" t="s">
        <v>108</v>
      </c>
      <c r="E43" t="s">
        <v>39</v>
      </c>
      <c r="F43" t="s">
        <v>40</v>
      </c>
      <c r="G43" t="s">
        <v>99</v>
      </c>
      <c r="H43" t="s">
        <v>119</v>
      </c>
      <c r="I43" t="s">
        <v>110</v>
      </c>
      <c r="J43" t="s">
        <v>44</v>
      </c>
      <c r="K43" t="s">
        <v>111</v>
      </c>
      <c r="L43" t="s">
        <v>90</v>
      </c>
      <c r="M43" t="s">
        <v>126</v>
      </c>
      <c r="N43" t="s">
        <v>48</v>
      </c>
      <c r="O43" t="s">
        <v>49</v>
      </c>
      <c r="P43" t="s">
        <v>127</v>
      </c>
      <c r="Q43" t="s">
        <v>133</v>
      </c>
      <c r="R43" t="s">
        <v>129</v>
      </c>
      <c r="S43" t="s">
        <v>53</v>
      </c>
      <c r="T43" t="s">
        <v>121</v>
      </c>
      <c r="U43" t="s">
        <v>134</v>
      </c>
      <c r="V43" t="s">
        <v>101</v>
      </c>
      <c r="W43" t="s">
        <v>83</v>
      </c>
      <c r="X43" t="s">
        <v>58</v>
      </c>
      <c r="Y43" t="s">
        <v>72</v>
      </c>
      <c r="Z43" t="s">
        <v>60</v>
      </c>
      <c r="AA43" t="s">
        <v>86</v>
      </c>
      <c r="AB43" t="s">
        <v>113</v>
      </c>
      <c r="AC43" t="s">
        <v>104</v>
      </c>
      <c r="AD43" t="s">
        <v>64</v>
      </c>
      <c r="AE43" t="s">
        <v>87</v>
      </c>
      <c r="AF43" t="s">
        <v>66</v>
      </c>
      <c r="AG43" t="s">
        <v>144</v>
      </c>
      <c r="AH43" t="s">
        <v>68</v>
      </c>
      <c r="AI43" t="s">
        <v>106</v>
      </c>
    </row>
    <row r="44" spans="1:35" x14ac:dyDescent="0.25">
      <c r="A44" t="s">
        <v>93</v>
      </c>
      <c r="B44" t="s">
        <v>117</v>
      </c>
      <c r="C44" t="s">
        <v>107</v>
      </c>
      <c r="D44" t="s">
        <v>108</v>
      </c>
      <c r="E44" t="s">
        <v>39</v>
      </c>
      <c r="F44" t="s">
        <v>40</v>
      </c>
      <c r="G44" t="s">
        <v>99</v>
      </c>
      <c r="H44" t="s">
        <v>119</v>
      </c>
      <c r="I44" t="s">
        <v>110</v>
      </c>
      <c r="J44" t="s">
        <v>44</v>
      </c>
      <c r="K44" t="s">
        <v>111</v>
      </c>
      <c r="L44" t="s">
        <v>90</v>
      </c>
      <c r="M44" t="s">
        <v>126</v>
      </c>
      <c r="N44" t="s">
        <v>48</v>
      </c>
      <c r="O44" t="s">
        <v>49</v>
      </c>
      <c r="P44" t="s">
        <v>127</v>
      </c>
      <c r="Q44" t="s">
        <v>133</v>
      </c>
      <c r="R44" t="s">
        <v>129</v>
      </c>
      <c r="S44" t="s">
        <v>53</v>
      </c>
      <c r="T44" t="s">
        <v>121</v>
      </c>
      <c r="U44" t="s">
        <v>134</v>
      </c>
      <c r="V44" t="s">
        <v>101</v>
      </c>
      <c r="W44" t="s">
        <v>83</v>
      </c>
      <c r="X44" t="s">
        <v>58</v>
      </c>
      <c r="Y44" t="s">
        <v>72</v>
      </c>
      <c r="Z44" t="s">
        <v>60</v>
      </c>
      <c r="AA44" t="s">
        <v>86</v>
      </c>
      <c r="AB44" t="s">
        <v>113</v>
      </c>
      <c r="AC44" t="s">
        <v>104</v>
      </c>
      <c r="AD44" t="s">
        <v>64</v>
      </c>
      <c r="AE44" t="s">
        <v>87</v>
      </c>
      <c r="AF44" t="s">
        <v>66</v>
      </c>
      <c r="AG44" t="s">
        <v>144</v>
      </c>
      <c r="AH44" t="s">
        <v>68</v>
      </c>
      <c r="AI44" t="s">
        <v>106</v>
      </c>
    </row>
    <row r="45" spans="1:35" x14ac:dyDescent="0.25">
      <c r="A45" t="s">
        <v>93</v>
      </c>
      <c r="B45" t="s">
        <v>117</v>
      </c>
      <c r="C45" t="s">
        <v>107</v>
      </c>
      <c r="D45" t="s">
        <v>108</v>
      </c>
      <c r="E45" t="s">
        <v>39</v>
      </c>
      <c r="F45" t="s">
        <v>40</v>
      </c>
      <c r="G45" t="s">
        <v>99</v>
      </c>
      <c r="H45" t="s">
        <v>119</v>
      </c>
      <c r="I45" t="s">
        <v>110</v>
      </c>
      <c r="J45" t="s">
        <v>44</v>
      </c>
      <c r="K45" t="s">
        <v>111</v>
      </c>
      <c r="L45" t="s">
        <v>90</v>
      </c>
      <c r="M45" t="s">
        <v>126</v>
      </c>
      <c r="N45" t="s">
        <v>48</v>
      </c>
      <c r="O45" t="s">
        <v>49</v>
      </c>
      <c r="P45" t="s">
        <v>127</v>
      </c>
      <c r="Q45" t="s">
        <v>133</v>
      </c>
      <c r="R45" t="s">
        <v>129</v>
      </c>
      <c r="S45" t="s">
        <v>53</v>
      </c>
      <c r="T45" t="s">
        <v>121</v>
      </c>
      <c r="U45" t="s">
        <v>134</v>
      </c>
      <c r="V45" t="s">
        <v>101</v>
      </c>
      <c r="W45" t="s">
        <v>83</v>
      </c>
      <c r="X45" t="s">
        <v>58</v>
      </c>
      <c r="Y45" t="s">
        <v>72</v>
      </c>
      <c r="Z45" t="s">
        <v>60</v>
      </c>
      <c r="AA45" t="s">
        <v>86</v>
      </c>
      <c r="AB45" t="s">
        <v>113</v>
      </c>
      <c r="AC45" t="s">
        <v>104</v>
      </c>
      <c r="AD45" t="s">
        <v>64</v>
      </c>
      <c r="AE45" t="s">
        <v>87</v>
      </c>
      <c r="AF45" t="s">
        <v>66</v>
      </c>
      <c r="AG45" t="s">
        <v>144</v>
      </c>
      <c r="AH45" t="s">
        <v>68</v>
      </c>
      <c r="AI45" t="s">
        <v>106</v>
      </c>
    </row>
    <row r="46" spans="1:35" x14ac:dyDescent="0.25">
      <c r="A46" t="s">
        <v>93</v>
      </c>
      <c r="B46" t="s">
        <v>117</v>
      </c>
      <c r="C46" t="s">
        <v>107</v>
      </c>
      <c r="D46" t="s">
        <v>108</v>
      </c>
      <c r="E46" t="s">
        <v>39</v>
      </c>
      <c r="F46" t="s">
        <v>40</v>
      </c>
      <c r="G46" t="s">
        <v>99</v>
      </c>
      <c r="H46" t="s">
        <v>119</v>
      </c>
      <c r="I46" t="s">
        <v>110</v>
      </c>
      <c r="J46" t="s">
        <v>44</v>
      </c>
      <c r="K46" t="s">
        <v>111</v>
      </c>
      <c r="L46" t="s">
        <v>90</v>
      </c>
      <c r="M46" t="s">
        <v>126</v>
      </c>
      <c r="N46" t="s">
        <v>48</v>
      </c>
      <c r="O46" t="s">
        <v>49</v>
      </c>
      <c r="P46" t="s">
        <v>127</v>
      </c>
      <c r="Q46" t="s">
        <v>133</v>
      </c>
      <c r="R46" t="s">
        <v>129</v>
      </c>
      <c r="S46" t="s">
        <v>53</v>
      </c>
      <c r="T46" t="s">
        <v>121</v>
      </c>
      <c r="U46" t="s">
        <v>134</v>
      </c>
      <c r="V46" t="s">
        <v>101</v>
      </c>
      <c r="W46" t="s">
        <v>83</v>
      </c>
      <c r="X46" t="s">
        <v>58</v>
      </c>
      <c r="Y46" t="s">
        <v>72</v>
      </c>
      <c r="Z46" t="s">
        <v>60</v>
      </c>
      <c r="AA46" t="s">
        <v>86</v>
      </c>
      <c r="AB46" t="s">
        <v>113</v>
      </c>
      <c r="AC46" t="s">
        <v>104</v>
      </c>
      <c r="AD46" t="s">
        <v>64</v>
      </c>
      <c r="AE46" t="s">
        <v>87</v>
      </c>
      <c r="AF46" t="s">
        <v>66</v>
      </c>
      <c r="AG46" t="s">
        <v>144</v>
      </c>
      <c r="AH46" t="s">
        <v>68</v>
      </c>
      <c r="AI46" t="s">
        <v>106</v>
      </c>
    </row>
    <row r="47" spans="1:35" x14ac:dyDescent="0.25">
      <c r="A47" t="s">
        <v>93</v>
      </c>
      <c r="B47" t="s">
        <v>117</v>
      </c>
      <c r="C47" t="s">
        <v>107</v>
      </c>
      <c r="D47" t="s">
        <v>108</v>
      </c>
      <c r="E47" t="s">
        <v>39</v>
      </c>
      <c r="F47" t="s">
        <v>40</v>
      </c>
      <c r="G47" t="s">
        <v>99</v>
      </c>
      <c r="H47" t="s">
        <v>119</v>
      </c>
      <c r="I47" t="s">
        <v>110</v>
      </c>
      <c r="J47" t="s">
        <v>44</v>
      </c>
      <c r="K47" t="s">
        <v>111</v>
      </c>
      <c r="L47" t="s">
        <v>90</v>
      </c>
      <c r="M47" t="s">
        <v>126</v>
      </c>
      <c r="N47" t="s">
        <v>48</v>
      </c>
      <c r="O47" t="s">
        <v>49</v>
      </c>
      <c r="P47" t="s">
        <v>127</v>
      </c>
      <c r="Q47" t="s">
        <v>133</v>
      </c>
      <c r="R47" t="s">
        <v>129</v>
      </c>
      <c r="S47" t="s">
        <v>53</v>
      </c>
      <c r="T47" t="s">
        <v>121</v>
      </c>
      <c r="U47" t="s">
        <v>134</v>
      </c>
      <c r="V47" t="s">
        <v>101</v>
      </c>
      <c r="W47" t="s">
        <v>83</v>
      </c>
      <c r="X47" t="s">
        <v>58</v>
      </c>
      <c r="Y47" t="s">
        <v>72</v>
      </c>
      <c r="Z47" t="s">
        <v>60</v>
      </c>
      <c r="AA47" t="s">
        <v>86</v>
      </c>
      <c r="AB47" t="s">
        <v>113</v>
      </c>
      <c r="AC47" t="s">
        <v>104</v>
      </c>
      <c r="AD47" t="s">
        <v>64</v>
      </c>
      <c r="AE47" t="s">
        <v>87</v>
      </c>
      <c r="AF47" t="s">
        <v>66</v>
      </c>
      <c r="AG47" t="s">
        <v>144</v>
      </c>
      <c r="AH47" t="s">
        <v>68</v>
      </c>
      <c r="AI47" t="s">
        <v>106</v>
      </c>
    </row>
    <row r="48" spans="1:35" x14ac:dyDescent="0.25">
      <c r="A48" t="s">
        <v>35</v>
      </c>
      <c r="B48" t="s">
        <v>36</v>
      </c>
      <c r="C48" t="s">
        <v>107</v>
      </c>
      <c r="D48" t="s">
        <v>122</v>
      </c>
      <c r="E48" t="s">
        <v>39</v>
      </c>
      <c r="F48" t="s">
        <v>40</v>
      </c>
      <c r="G48" t="s">
        <v>109</v>
      </c>
      <c r="H48" t="s">
        <v>124</v>
      </c>
      <c r="I48" t="s">
        <v>136</v>
      </c>
      <c r="J48" t="s">
        <v>141</v>
      </c>
      <c r="K48" t="s">
        <v>111</v>
      </c>
      <c r="L48" t="s">
        <v>90</v>
      </c>
      <c r="M48" t="s">
        <v>79</v>
      </c>
      <c r="N48" t="s">
        <v>48</v>
      </c>
      <c r="O48" t="s">
        <v>49</v>
      </c>
      <c r="P48" t="s">
        <v>50</v>
      </c>
      <c r="Q48" t="s">
        <v>128</v>
      </c>
      <c r="R48" t="s">
        <v>129</v>
      </c>
      <c r="S48" t="s">
        <v>53</v>
      </c>
      <c r="T48" t="s">
        <v>54</v>
      </c>
      <c r="U48" t="s">
        <v>55</v>
      </c>
      <c r="V48" t="s">
        <v>101</v>
      </c>
      <c r="W48" t="s">
        <v>57</v>
      </c>
      <c r="X48" t="s">
        <v>84</v>
      </c>
      <c r="Y48" t="s">
        <v>72</v>
      </c>
      <c r="Z48" t="s">
        <v>103</v>
      </c>
      <c r="AA48" t="s">
        <v>86</v>
      </c>
      <c r="AB48" t="s">
        <v>113</v>
      </c>
      <c r="AC48" t="s">
        <v>63</v>
      </c>
      <c r="AD48" t="s">
        <v>64</v>
      </c>
      <c r="AE48" t="s">
        <v>87</v>
      </c>
      <c r="AF48" t="s">
        <v>66</v>
      </c>
      <c r="AG48" t="s">
        <v>131</v>
      </c>
      <c r="AH48" t="s">
        <v>68</v>
      </c>
      <c r="AI48" t="s">
        <v>106</v>
      </c>
    </row>
    <row r="49" spans="1:35" x14ac:dyDescent="0.25">
      <c r="A49" t="s">
        <v>35</v>
      </c>
      <c r="B49" t="s">
        <v>36</v>
      </c>
      <c r="C49" t="s">
        <v>107</v>
      </c>
      <c r="D49" t="s">
        <v>38</v>
      </c>
      <c r="E49" t="s">
        <v>39</v>
      </c>
      <c r="F49" t="s">
        <v>40</v>
      </c>
      <c r="G49" t="s">
        <v>41</v>
      </c>
      <c r="H49" t="s">
        <v>42</v>
      </c>
      <c r="I49" t="s">
        <v>77</v>
      </c>
      <c r="J49" t="s">
        <v>44</v>
      </c>
      <c r="K49" t="s">
        <v>89</v>
      </c>
      <c r="L49" t="s">
        <v>90</v>
      </c>
      <c r="M49" t="s">
        <v>126</v>
      </c>
      <c r="N49" t="s">
        <v>48</v>
      </c>
      <c r="O49" t="s">
        <v>49</v>
      </c>
      <c r="P49" t="s">
        <v>95</v>
      </c>
      <c r="Q49" t="s">
        <v>51</v>
      </c>
      <c r="R49" t="s">
        <v>52</v>
      </c>
      <c r="S49" t="s">
        <v>81</v>
      </c>
      <c r="T49" t="s">
        <v>121</v>
      </c>
      <c r="U49" t="s">
        <v>55</v>
      </c>
      <c r="V49" t="s">
        <v>101</v>
      </c>
      <c r="W49" t="s">
        <v>83</v>
      </c>
      <c r="X49" t="s">
        <v>84</v>
      </c>
      <c r="Y49" t="s">
        <v>59</v>
      </c>
      <c r="Z49" t="s">
        <v>103</v>
      </c>
      <c r="AA49" t="s">
        <v>86</v>
      </c>
      <c r="AB49" t="s">
        <v>62</v>
      </c>
      <c r="AC49" t="s">
        <v>63</v>
      </c>
      <c r="AD49" t="s">
        <v>64</v>
      </c>
      <c r="AE49" t="s">
        <v>87</v>
      </c>
      <c r="AF49" t="s">
        <v>114</v>
      </c>
      <c r="AG49" t="s">
        <v>97</v>
      </c>
      <c r="AH49" t="s">
        <v>139</v>
      </c>
      <c r="AI49" t="s">
        <v>69</v>
      </c>
    </row>
    <row r="50" spans="1:35" x14ac:dyDescent="0.25">
      <c r="A50" t="s">
        <v>93</v>
      </c>
      <c r="B50" t="s">
        <v>98</v>
      </c>
      <c r="C50" t="s">
        <v>88</v>
      </c>
      <c r="D50" t="s">
        <v>38</v>
      </c>
      <c r="E50" s="1" t="s">
        <v>75</v>
      </c>
      <c r="F50" t="s">
        <v>76</v>
      </c>
      <c r="G50" t="s">
        <v>41</v>
      </c>
      <c r="H50" t="s">
        <v>119</v>
      </c>
      <c r="I50" t="s">
        <v>77</v>
      </c>
      <c r="J50" t="s">
        <v>44</v>
      </c>
      <c r="K50" t="s">
        <v>45</v>
      </c>
      <c r="L50" t="s">
        <v>90</v>
      </c>
      <c r="M50" t="s">
        <v>100</v>
      </c>
      <c r="N50" t="s">
        <v>112</v>
      </c>
      <c r="O50" t="s">
        <v>49</v>
      </c>
      <c r="P50" t="s">
        <v>127</v>
      </c>
      <c r="Q50" t="s">
        <v>133</v>
      </c>
      <c r="R50" t="s">
        <v>80</v>
      </c>
      <c r="S50" t="s">
        <v>53</v>
      </c>
      <c r="T50" t="s">
        <v>70</v>
      </c>
      <c r="U50" t="s">
        <v>55</v>
      </c>
      <c r="V50" t="s">
        <v>101</v>
      </c>
      <c r="W50" t="s">
        <v>83</v>
      </c>
      <c r="X50" t="s">
        <v>58</v>
      </c>
      <c r="Y50" t="s">
        <v>59</v>
      </c>
      <c r="Z50" t="s">
        <v>60</v>
      </c>
      <c r="AA50" t="s">
        <v>61</v>
      </c>
      <c r="AB50" t="s">
        <v>62</v>
      </c>
      <c r="AC50" t="s">
        <v>104</v>
      </c>
      <c r="AD50" t="s">
        <v>105</v>
      </c>
      <c r="AE50" t="s">
        <v>87</v>
      </c>
      <c r="AF50" t="s">
        <v>66</v>
      </c>
      <c r="AG50" t="s">
        <v>97</v>
      </c>
      <c r="AH50" t="s">
        <v>68</v>
      </c>
      <c r="AI50" t="s">
        <v>106</v>
      </c>
    </row>
    <row r="51" spans="1:35" x14ac:dyDescent="0.25">
      <c r="A51" t="s">
        <v>35</v>
      </c>
      <c r="B51" t="s">
        <v>36</v>
      </c>
      <c r="C51" t="s">
        <v>107</v>
      </c>
      <c r="D51" t="s">
        <v>108</v>
      </c>
      <c r="E51" s="1" t="s">
        <v>94</v>
      </c>
      <c r="F51" t="s">
        <v>76</v>
      </c>
      <c r="G51" t="s">
        <v>109</v>
      </c>
      <c r="H51" t="s">
        <v>42</v>
      </c>
      <c r="I51" t="s">
        <v>110</v>
      </c>
      <c r="J51" t="s">
        <v>44</v>
      </c>
      <c r="K51" t="s">
        <v>111</v>
      </c>
      <c r="L51" t="s">
        <v>125</v>
      </c>
      <c r="M51" t="s">
        <v>126</v>
      </c>
      <c r="N51" t="s">
        <v>48</v>
      </c>
      <c r="O51" t="s">
        <v>49</v>
      </c>
      <c r="P51" t="s">
        <v>95</v>
      </c>
      <c r="Q51" t="s">
        <v>51</v>
      </c>
      <c r="R51" t="s">
        <v>80</v>
      </c>
      <c r="S51" t="s">
        <v>53</v>
      </c>
      <c r="T51" t="s">
        <v>70</v>
      </c>
      <c r="U51" t="s">
        <v>55</v>
      </c>
      <c r="V51" t="s">
        <v>101</v>
      </c>
      <c r="W51" t="s">
        <v>83</v>
      </c>
      <c r="X51" t="s">
        <v>58</v>
      </c>
      <c r="Y51" t="s">
        <v>59</v>
      </c>
      <c r="Z51" t="s">
        <v>60</v>
      </c>
      <c r="AA51" t="s">
        <v>86</v>
      </c>
      <c r="AB51" t="s">
        <v>62</v>
      </c>
      <c r="AC51" t="s">
        <v>63</v>
      </c>
      <c r="AD51" t="s">
        <v>64</v>
      </c>
      <c r="AE51" t="s">
        <v>65</v>
      </c>
      <c r="AF51" t="s">
        <v>114</v>
      </c>
      <c r="AG51" t="s">
        <v>131</v>
      </c>
      <c r="AH51" t="s">
        <v>68</v>
      </c>
      <c r="AI51" t="s">
        <v>106</v>
      </c>
    </row>
    <row r="52" spans="1:35" x14ac:dyDescent="0.25">
      <c r="A52" t="s">
        <v>35</v>
      </c>
      <c r="B52" t="s">
        <v>36</v>
      </c>
      <c r="C52" t="s">
        <v>37</v>
      </c>
      <c r="D52" t="s">
        <v>108</v>
      </c>
      <c r="E52" s="1" t="s">
        <v>75</v>
      </c>
      <c r="F52" t="s">
        <v>40</v>
      </c>
      <c r="G52" t="s">
        <v>41</v>
      </c>
      <c r="H52" t="s">
        <v>42</v>
      </c>
      <c r="I52" t="s">
        <v>77</v>
      </c>
      <c r="J52" t="s">
        <v>145</v>
      </c>
      <c r="K52" t="s">
        <v>78</v>
      </c>
      <c r="L52" t="s">
        <v>46</v>
      </c>
      <c r="M52" t="s">
        <v>79</v>
      </c>
      <c r="N52" t="s">
        <v>112</v>
      </c>
      <c r="O52" t="s">
        <v>49</v>
      </c>
      <c r="P52" t="s">
        <v>95</v>
      </c>
      <c r="Q52" t="s">
        <v>51</v>
      </c>
      <c r="R52" t="s">
        <v>80</v>
      </c>
      <c r="S52" t="s">
        <v>53</v>
      </c>
      <c r="T52" t="s">
        <v>70</v>
      </c>
      <c r="U52" t="s">
        <v>134</v>
      </c>
      <c r="V52" t="s">
        <v>71</v>
      </c>
      <c r="W52" t="s">
        <v>57</v>
      </c>
      <c r="X52" t="s">
        <v>58</v>
      </c>
      <c r="Y52" t="s">
        <v>59</v>
      </c>
      <c r="Z52" t="s">
        <v>85</v>
      </c>
      <c r="AA52" t="s">
        <v>61</v>
      </c>
      <c r="AB52" t="s">
        <v>62</v>
      </c>
      <c r="AC52" t="s">
        <v>63</v>
      </c>
      <c r="AD52" t="s">
        <v>64</v>
      </c>
      <c r="AE52" t="s">
        <v>65</v>
      </c>
      <c r="AF52" t="s">
        <v>92</v>
      </c>
      <c r="AG52" t="s">
        <v>67</v>
      </c>
      <c r="AH52" t="s">
        <v>139</v>
      </c>
      <c r="AI52" t="s">
        <v>106</v>
      </c>
    </row>
    <row r="53" spans="1:35" x14ac:dyDescent="0.25">
      <c r="A53" t="s">
        <v>93</v>
      </c>
      <c r="B53" t="s">
        <v>36</v>
      </c>
      <c r="C53" t="s">
        <v>107</v>
      </c>
      <c r="D53" t="s">
        <v>122</v>
      </c>
      <c r="E53" t="s">
        <v>39</v>
      </c>
      <c r="F53" t="s">
        <v>40</v>
      </c>
      <c r="G53" t="s">
        <v>41</v>
      </c>
      <c r="H53" t="s">
        <v>42</v>
      </c>
      <c r="I53" t="s">
        <v>43</v>
      </c>
      <c r="J53" t="s">
        <v>137</v>
      </c>
      <c r="K53" t="s">
        <v>111</v>
      </c>
      <c r="L53" t="s">
        <v>125</v>
      </c>
      <c r="M53" t="s">
        <v>79</v>
      </c>
      <c r="N53" t="s">
        <v>120</v>
      </c>
      <c r="O53" t="s">
        <v>143</v>
      </c>
      <c r="P53" t="s">
        <v>95</v>
      </c>
      <c r="Q53" t="s">
        <v>51</v>
      </c>
      <c r="R53" t="s">
        <v>80</v>
      </c>
      <c r="S53" t="s">
        <v>53</v>
      </c>
      <c r="T53" t="s">
        <v>70</v>
      </c>
      <c r="U53" t="s">
        <v>134</v>
      </c>
      <c r="V53" t="s">
        <v>101</v>
      </c>
      <c r="W53" t="s">
        <v>83</v>
      </c>
      <c r="X53" t="s">
        <v>84</v>
      </c>
      <c r="Y53" t="s">
        <v>59</v>
      </c>
      <c r="Z53" t="s">
        <v>103</v>
      </c>
      <c r="AA53" t="s">
        <v>86</v>
      </c>
      <c r="AB53" t="s">
        <v>62</v>
      </c>
      <c r="AC53" t="s">
        <v>63</v>
      </c>
      <c r="AD53" t="s">
        <v>64</v>
      </c>
      <c r="AE53" t="s">
        <v>65</v>
      </c>
      <c r="AF53" t="s">
        <v>114</v>
      </c>
      <c r="AG53" t="s">
        <v>144</v>
      </c>
      <c r="AH53" t="s">
        <v>68</v>
      </c>
      <c r="AI53" t="s">
        <v>116</v>
      </c>
    </row>
    <row r="54" spans="1:35" x14ac:dyDescent="0.25">
      <c r="A54" t="s">
        <v>35</v>
      </c>
      <c r="B54" t="s">
        <v>73</v>
      </c>
      <c r="C54" t="s">
        <v>107</v>
      </c>
      <c r="D54" t="s">
        <v>108</v>
      </c>
      <c r="E54" s="1" t="s">
        <v>75</v>
      </c>
      <c r="F54" t="s">
        <v>76</v>
      </c>
      <c r="G54" t="s">
        <v>109</v>
      </c>
      <c r="H54" t="s">
        <v>124</v>
      </c>
      <c r="I54" t="s">
        <v>43</v>
      </c>
      <c r="J54" t="s">
        <v>137</v>
      </c>
      <c r="K54" t="s">
        <v>111</v>
      </c>
      <c r="L54" t="s">
        <v>125</v>
      </c>
      <c r="M54" t="s">
        <v>47</v>
      </c>
      <c r="N54" t="s">
        <v>120</v>
      </c>
      <c r="O54" t="s">
        <v>143</v>
      </c>
      <c r="P54" t="s">
        <v>50</v>
      </c>
      <c r="Q54" t="s">
        <v>128</v>
      </c>
      <c r="R54" t="s">
        <v>80</v>
      </c>
      <c r="S54" t="s">
        <v>53</v>
      </c>
      <c r="T54" t="s">
        <v>54</v>
      </c>
      <c r="U54" t="s">
        <v>134</v>
      </c>
      <c r="V54" t="s">
        <v>101</v>
      </c>
      <c r="W54" t="s">
        <v>83</v>
      </c>
      <c r="X54" t="s">
        <v>58</v>
      </c>
      <c r="Y54" t="s">
        <v>102</v>
      </c>
      <c r="Z54" t="s">
        <v>103</v>
      </c>
      <c r="AA54" t="s">
        <v>86</v>
      </c>
      <c r="AB54" t="s">
        <v>130</v>
      </c>
      <c r="AC54" t="s">
        <v>104</v>
      </c>
      <c r="AD54" t="s">
        <v>146</v>
      </c>
      <c r="AE54" t="s">
        <v>142</v>
      </c>
      <c r="AF54" t="s">
        <v>92</v>
      </c>
      <c r="AG54" t="s">
        <v>131</v>
      </c>
      <c r="AH54" t="s">
        <v>68</v>
      </c>
      <c r="AI54" t="s">
        <v>116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83DD635CB16174EADDFBC481EBFA780" ma:contentTypeVersion="36" ma:contentTypeDescription="Crie um novo documento." ma:contentTypeScope="" ma:versionID="b02fbc2f6147e6f67b7151dd9b298258">
  <xsd:schema xmlns:xsd="http://www.w3.org/2001/XMLSchema" xmlns:xs="http://www.w3.org/2001/XMLSchema" xmlns:p="http://schemas.microsoft.com/office/2006/metadata/properties" xmlns:ns3="0a3d7bda-0fbd-4126-b78b-b0d4034bf761" xmlns:ns4="498851ff-6d46-4ddb-82d7-2cb0a5fc1bbf" targetNamespace="http://schemas.microsoft.com/office/2006/metadata/properties" ma:root="true" ma:fieldsID="2ff3e5d3db83cd65a6e55fc601eb4de7" ns3:_="" ns4:_="">
    <xsd:import namespace="0a3d7bda-0fbd-4126-b78b-b0d4034bf761"/>
    <xsd:import namespace="498851ff-6d46-4ddb-82d7-2cb0a5fc1bb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Teams_Channel_Section_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_activity" minOccurs="0"/>
                <xsd:element ref="ns3:MediaServiceObjectDetectorVersion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3d7bda-0fbd-4126-b78b-b0d4034bf7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6" nillable="true" ma:displayName="Notebook Type" ma:internalName="NotebookType">
      <xsd:simpleType>
        <xsd:restriction base="dms:Text"/>
      </xsd:simpleType>
    </xsd:element>
    <xsd:element name="FolderType" ma:index="17" nillable="true" ma:displayName="Folder Type" ma:internalName="FolderType">
      <xsd:simpleType>
        <xsd:restriction base="dms:Text"/>
      </xsd:simpleType>
    </xsd:element>
    <xsd:element name="CultureName" ma:index="18" nillable="true" ma:displayName="Culture Name" ma:internalName="CultureName">
      <xsd:simpleType>
        <xsd:restriction base="dms:Text"/>
      </xsd:simpleType>
    </xsd:element>
    <xsd:element name="AppVersion" ma:index="19" nillable="true" ma:displayName="App Version" ma:internalName="AppVersion">
      <xsd:simpleType>
        <xsd:restriction base="dms:Text"/>
      </xsd:simpleType>
    </xsd:element>
    <xsd:element name="TeamsChannelId" ma:index="20" nillable="true" ma:displayName="Teams Channel Id" ma:internalName="TeamsChannelId">
      <xsd:simpleType>
        <xsd:restriction base="dms:Text"/>
      </xsd:simpleType>
    </xsd:element>
    <xsd:element name="Owner" ma:index="21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2" nillable="true" ma:displayName="Math Settings" ma:internalName="Math_Settings">
      <xsd:simpleType>
        <xsd:restriction base="dms:Text"/>
      </xsd:simpleType>
    </xsd:element>
    <xsd:element name="DefaultSectionNames" ma:index="23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4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5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6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7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8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9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0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1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2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3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4" nillable="true" ma:displayName="Is Collaboration Space Locked" ma:internalName="Is_Collaboration_Space_Locked">
      <xsd:simpleType>
        <xsd:restriction base="dms:Boolean"/>
      </xsd:simpleType>
    </xsd:element>
    <xsd:element name="IsNotebookLocked" ma:index="35" nillable="true" ma:displayName="Is Notebook Locked" ma:internalName="IsNotebookLocked">
      <xsd:simpleType>
        <xsd:restriction base="dms:Boolean"/>
      </xsd:simpleType>
    </xsd:element>
    <xsd:element name="Teams_Channel_Section_Location" ma:index="36" nillable="true" ma:displayName="Teams Channel Section Location" ma:internalName="Teams_Channel_Section_Location">
      <xsd:simpleType>
        <xsd:restriction base="dms:Text"/>
      </xsd:simpleType>
    </xsd:element>
    <xsd:element name="MediaServiceDateTaken" ma:index="40" nillable="true" ma:displayName="MediaServiceDateTaken" ma:hidden="true" ma:internalName="MediaServiceDateTaken" ma:readOnly="true">
      <xsd:simpleType>
        <xsd:restriction base="dms:Text"/>
      </xsd:simpleType>
    </xsd:element>
    <xsd:element name="_activity" ma:index="41" nillable="true" ma:displayName="_activity" ma:hidden="true" ma:internalName="_activity">
      <xsd:simpleType>
        <xsd:restriction base="dms:Note"/>
      </xsd:simpleType>
    </xsd:element>
    <xsd:element name="MediaServiceObjectDetectorVersions" ma:index="4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4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8851ff-6d46-4ddb-82d7-2cb0a5fc1bbf" elementFormDefault="qualified">
    <xsd:import namespace="http://schemas.microsoft.com/office/2006/documentManagement/types"/>
    <xsd:import namespace="http://schemas.microsoft.com/office/infopath/2007/PartnerControls"/>
    <xsd:element name="SharedWithUsers" ma:index="3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9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tebookType xmlns="0a3d7bda-0fbd-4126-b78b-b0d4034bf761" xsi:nil="true"/>
    <FolderType xmlns="0a3d7bda-0fbd-4126-b78b-b0d4034bf761" xsi:nil="true"/>
    <LMS_Mappings xmlns="0a3d7bda-0fbd-4126-b78b-b0d4034bf761" xsi:nil="true"/>
    <AppVersion xmlns="0a3d7bda-0fbd-4126-b78b-b0d4034bf761" xsi:nil="true"/>
    <TeamsChannelId xmlns="0a3d7bda-0fbd-4126-b78b-b0d4034bf761" xsi:nil="true"/>
    <IsNotebookLocked xmlns="0a3d7bda-0fbd-4126-b78b-b0d4034bf761" xsi:nil="true"/>
    <DefaultSectionNames xmlns="0a3d7bda-0fbd-4126-b78b-b0d4034bf761" xsi:nil="true"/>
    <_activity xmlns="0a3d7bda-0fbd-4126-b78b-b0d4034bf761" xsi:nil="true"/>
    <Templates xmlns="0a3d7bda-0fbd-4126-b78b-b0d4034bf761" xsi:nil="true"/>
    <Self_Registration_Enabled xmlns="0a3d7bda-0fbd-4126-b78b-b0d4034bf761" xsi:nil="true"/>
    <CultureName xmlns="0a3d7bda-0fbd-4126-b78b-b0d4034bf761" xsi:nil="true"/>
    <Students xmlns="0a3d7bda-0fbd-4126-b78b-b0d4034bf761">
      <UserInfo>
        <DisplayName/>
        <AccountId xsi:nil="true"/>
        <AccountType/>
      </UserInfo>
    </Students>
    <Invited_Students xmlns="0a3d7bda-0fbd-4126-b78b-b0d4034bf761" xsi:nil="true"/>
    <Teachers xmlns="0a3d7bda-0fbd-4126-b78b-b0d4034bf761">
      <UserInfo>
        <DisplayName/>
        <AccountId xsi:nil="true"/>
        <AccountType/>
      </UserInfo>
    </Teachers>
    <Student_Groups xmlns="0a3d7bda-0fbd-4126-b78b-b0d4034bf761">
      <UserInfo>
        <DisplayName/>
        <AccountId xsi:nil="true"/>
        <AccountType/>
      </UserInfo>
    </Student_Groups>
    <Teams_Channel_Section_Location xmlns="0a3d7bda-0fbd-4126-b78b-b0d4034bf761" xsi:nil="true"/>
    <Math_Settings xmlns="0a3d7bda-0fbd-4126-b78b-b0d4034bf761" xsi:nil="true"/>
    <Has_Teacher_Only_SectionGroup xmlns="0a3d7bda-0fbd-4126-b78b-b0d4034bf761" xsi:nil="true"/>
    <Owner xmlns="0a3d7bda-0fbd-4126-b78b-b0d4034bf761">
      <UserInfo>
        <DisplayName/>
        <AccountId xsi:nil="true"/>
        <AccountType/>
      </UserInfo>
    </Owner>
    <Distribution_Groups xmlns="0a3d7bda-0fbd-4126-b78b-b0d4034bf761" xsi:nil="true"/>
    <Invited_Teachers xmlns="0a3d7bda-0fbd-4126-b78b-b0d4034bf761" xsi:nil="true"/>
    <Is_Collaboration_Space_Locked xmlns="0a3d7bda-0fbd-4126-b78b-b0d4034bf76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C1A3F2-039C-492E-960C-6D21A497F2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3d7bda-0fbd-4126-b78b-b0d4034bf761"/>
    <ds:schemaRef ds:uri="498851ff-6d46-4ddb-82d7-2cb0a5fc1b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F789B2-1A49-46AD-A9CB-B30877A4A7CF}">
  <ds:schemaRefs>
    <ds:schemaRef ds:uri="0a3d7bda-0fbd-4126-b78b-b0d4034bf761"/>
    <ds:schemaRef ds:uri="http://schemas.microsoft.com/office/2006/documentManagement/types"/>
    <ds:schemaRef ds:uri="498851ff-6d46-4ddb-82d7-2cb0a5fc1bbf"/>
    <ds:schemaRef ds:uri="http://purl.org/dc/elements/1.1/"/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4098BDE-74EC-4189-B447-4E2E7CE894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Perfil</vt:lpstr>
      <vt:lpstr>Consumo</vt:lpstr>
      <vt:lpstr>investimento</vt:lpstr>
      <vt:lpstr>Planejamento</vt:lpstr>
      <vt:lpstr>TDPerfil</vt:lpstr>
      <vt:lpstr>TDConsumo</vt:lpstr>
      <vt:lpstr>TDInvestimento</vt:lpstr>
      <vt:lpstr>TDPlanejamento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Neto</dc:creator>
  <cp:lastModifiedBy>Franco Neto</cp:lastModifiedBy>
  <dcterms:created xsi:type="dcterms:W3CDTF">2023-05-24T13:38:12Z</dcterms:created>
  <dcterms:modified xsi:type="dcterms:W3CDTF">2023-06-14T12:05:59Z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0x010100883DD635CB16174EADDFBC481EBFA780</vt:lpwstr>
  </property>
</Properties>
</file>